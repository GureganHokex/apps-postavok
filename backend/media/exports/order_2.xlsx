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'Фасовка'!$A$2:$K$430</definedName>
    <definedName name="_xlnm._FilterDatabase" localSheetId="1" hidden="1">'Розлив'!$A$2:$J$139</definedName>
    <definedName name="_xlnm._FilterDatabase" localSheetId="2" hidden="1">'БА'!$A$2:$J$69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  <font>
      <name val="Calibri"/>
      <b val="1"/>
      <color rgb="FF000000"/>
      <sz val="12"/>
      <u val="single"/>
    </font>
  </fonts>
  <fills count="7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5" fillId="2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0" fontId="18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6" fillId="2" borderId="3" pivotButton="0" quotePrefix="0" xfId="0"/>
    <xf numFmtId="0" fontId="16" fillId="2" borderId="1" pivotButton="0" quotePrefix="0" xfId="0"/>
    <xf numFmtId="0" fontId="9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16" fillId="2" borderId="1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16" fillId="2" borderId="1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16" fillId="2" borderId="1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7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7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8" pivotButton="0" quotePrefix="0" xfId="0"/>
    <xf numFmtId="0" fontId="10" fillId="3" borderId="5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2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/>
    </xf>
    <xf numFmtId="0" fontId="10" fillId="3" borderId="6" applyAlignment="1" pivotButton="0" quotePrefix="0" xfId="0">
      <alignment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 wrapText="1"/>
    </xf>
    <xf numFmtId="0" fontId="17" fillId="0" borderId="1" applyAlignment="1" pivotButton="0" quotePrefix="0" xfId="0">
      <alignment vertical="bottom" wrapText="1"/>
    </xf>
    <xf numFmtId="0" fontId="4" fillId="3" borderId="0" applyAlignment="1" pivotButton="0" quotePrefix="0" xfId="0">
      <alignment vertical="center" wrapText="1"/>
    </xf>
    <xf numFmtId="0" fontId="32" fillId="0" borderId="0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5" fillId="2" borderId="3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17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7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3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vertical="bottom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7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6" fillId="2" borderId="5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7" fillId="3" borderId="8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/>
    </xf>
    <xf numFmtId="0" fontId="16" fillId="2" borderId="5" pivotButton="0" quotePrefix="0" xfId="0"/>
    <xf numFmtId="0" fontId="17" fillId="3" borderId="8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7" fillId="3" borderId="8" applyAlignment="1" pivotButton="0" quotePrefix="0" xfId="0">
      <alignment wrapText="1"/>
    </xf>
    <xf numFmtId="0" fontId="37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8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8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8" fillId="3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vertical="center" wrapText="1"/>
    </xf>
    <xf numFmtId="0" fontId="3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7" pivotButton="0" quotePrefix="0" xfId="0"/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114675" cy="13144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038475" cy="128587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tlichnyj-urozhaj-i-p-a-fu-ing-perfect-harvest/552706" TargetMode="External" Id="rId29" /><Relationship Type="http://schemas.openxmlformats.org/officeDocument/2006/relationships/hyperlink" Target="https://untappd.com/b/pivovarnya-odna-tonna-odna-tonna-brewery-ryzhaya-sonya-red-sonya/1318227" TargetMode="External" Id="rId30" /><Relationship Type="http://schemas.openxmlformats.org/officeDocument/2006/relationships/hyperlink" Target="https://untappd.com/b/pivovarnya-odna-tonna-odna-tonna-brewery-selestial-strata-citra-mosaic/6413968" TargetMode="External" Id="rId31" /><Relationship Type="http://schemas.openxmlformats.org/officeDocument/2006/relationships/hyperlink" Target="https://untappd.com/b/pivovarnya-odna-tonna-odna-tonna-brewery-utro-tumannoe/3218787" TargetMode="External" Id="rId32" /><Relationship Type="http://schemas.openxmlformats.org/officeDocument/2006/relationships/hyperlink" Target="https://untappd.com/b/pivovarnya-odna-tonna-odna-tonna-brewery-ebru-chernaya-smorodina-malina-granat-aroniya/6214703" TargetMode="External" Id="rId33" /><Relationship Type="http://schemas.openxmlformats.org/officeDocument/2006/relationships/hyperlink" Target="https://untappd.com/b/pivovarnya-odna-tonna-odna-tonna-brewery-desitka-zhukovskaya-desitka/6227826" TargetMode="External" Id="rId34" /><Relationship Type="http://schemas.openxmlformats.org/officeDocument/2006/relationships/hyperlink" Target="https://untappd.com/b/pivovarnya-odna-tonna-odna-tonna-brewery-honeypot-vishnya/4331754" TargetMode="External" Id="rId35" /><Relationship Type="http://schemas.openxmlformats.org/officeDocument/2006/relationships/hyperlink" Target="https://untappd.com/b/pivovarnya-odna-tonna-odna-tonna-brewery-honeypot-chernaya-smorodina/4072523" TargetMode="External" Id="rId36" /><Relationship Type="http://schemas.openxmlformats.org/officeDocument/2006/relationships/hyperlink" Target="https://untappd.com/b/pivovarnya-odna-tonna-odna-tonna-brewery-hyperpink-citra-cryo-krush-motueka/6273932" TargetMode="External" Id="rId37" /><Relationship Type="http://schemas.openxmlformats.org/officeDocument/2006/relationships/hyperlink" Target="https://untappd.com/b/pivovarnya-odna-tonna-odna-tonna-brewery-luna-park-apelsin-grejpfrut-persik/6155090" TargetMode="External" Id="rId38" /><Relationship Type="http://schemas.openxmlformats.org/officeDocument/2006/relationships/hyperlink" Target="https://untappd.com/b/pivovarnya-odna-tonna-odna-tonna-brewery-luna-park-mango-grejpfrut-apelsin/6155087" TargetMode="External" Id="rId39" /><Relationship Type="http://schemas.openxmlformats.org/officeDocument/2006/relationships/hyperlink" Target="https://untappd.com/b/pivovarnya-odna-tonna-odna-tonna-brewery-luna-park-persik-mango-apelsin/6155088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schukowski-pils-zhukovskij-pils/6349817" TargetMode="External" Id="rId42" /><Relationship Type="http://schemas.openxmlformats.org/officeDocument/2006/relationships/hyperlink" Target="https://untappd.com/b/pivovarnya-odna-tonna-odna-tonna-brewery-zukovskij-lezak-zhukovskij-lezhak/6071657" TargetMode="External" Id="rId43" /><Relationship Type="http://schemas.openxmlformats.org/officeDocument/2006/relationships/hyperlink" Target="https://untappd.com/b/sidrodelnya-leonida-levrana-suhoj-2023/5949954" TargetMode="External" Id="rId44" /><Relationship Type="http://schemas.openxmlformats.org/officeDocument/2006/relationships/hyperlink" Target="https://untappd.com/b/sidrodelnya-leonida-levrana-suhoj-2023/5949954" TargetMode="External" Id="rId45" /><Relationship Type="http://schemas.openxmlformats.org/officeDocument/2006/relationships/hyperlink" Target="https://untappd.com/b/sidrodelnya-leonida-levrana-pskovskij-terruar-2023/5986172" TargetMode="External" Id="rId46" /><Relationship Type="http://schemas.openxmlformats.org/officeDocument/2006/relationships/hyperlink" Target="https://untappd.com/b/sidrodelnya-leonida-levrana-pskovskij-terruar-2023/5986172" TargetMode="External" Id="rId47" /><Relationship Type="http://schemas.openxmlformats.org/officeDocument/2006/relationships/hyperlink" Target="https://untappd.com/b/sidrodelnya-leonida-levrana-862/6070777" TargetMode="External" Id="rId48" /><Relationship Type="http://schemas.openxmlformats.org/officeDocument/2006/relationships/hyperlink" Target="https://untappd.com/b/sidrodelnya-leonida-levrana-862/6070777" TargetMode="External" Id="rId49" /><Relationship Type="http://schemas.openxmlformats.org/officeDocument/2006/relationships/hyperlink" Target="https://untappd.com/b/sidrodelnya-leonida-levrana-puare-2024/6223399" TargetMode="External" Id="rId50" /><Relationship Type="http://schemas.openxmlformats.org/officeDocument/2006/relationships/hyperlink" Target="https://untappd.com/b/sidrodelnya-leonida-levrana-organicheskij-tradicionnyj/6377255" TargetMode="External" Id="rId51" /><Relationship Type="http://schemas.openxmlformats.org/officeDocument/2006/relationships/hyperlink" Target="https://untappd.com/b/sidrodelnya-leonida-levrana-organicheskij-tradicionnyj/6377255" TargetMode="External" Id="rId52" /><Relationship Type="http://schemas.openxmlformats.org/officeDocument/2006/relationships/hyperlink" Target="https://untappd.com/b/sidrodelnya-leonida-levrana-reven/6070765" TargetMode="External" Id="rId53" /><Relationship Type="http://schemas.openxmlformats.org/officeDocument/2006/relationships/hyperlink" Target="https://untappd.com/b/sidrodelnya-leonida-levrana-hop-me/6070796" TargetMode="External" Id="rId54" /><Relationship Type="http://schemas.openxmlformats.org/officeDocument/2006/relationships/hyperlink" Target="https://untappd.com/b/sidrodelnya-leonida-levrana-hop-me/6070796" TargetMode="External" Id="rId55" /><Relationship Type="http://schemas.openxmlformats.org/officeDocument/2006/relationships/hyperlink" Target="https://untappd.com/b/sidrodelnya-leonida-levrana-hop-me/6223395" TargetMode="External" Id="rId56" /><Relationship Type="http://schemas.openxmlformats.org/officeDocument/2006/relationships/hyperlink" Target="https://untappd.com/b/sidrodelnya-leonida-levrana-hop-me/6223395" TargetMode="External" Id="rId57" /><Relationship Type="http://schemas.openxmlformats.org/officeDocument/2006/relationships/hyperlink" Target="https://untappd.com/b/pivovarnya-chasha-thicket-brewery-dzen-i-iskusstvo-uhoda-za-kalamansi-zen-and-the-art-of-calamansi-care/6400001" TargetMode="External" Id="rId58" /><Relationship Type="http://schemas.openxmlformats.org/officeDocument/2006/relationships/hyperlink" Target="https://untappd.com/b/pivovarnya-chasha-thicket-brewery-dzen-i-iskusstvo-uhoda-za-citrusami-zen-and-the-art-of-citrus-care/6392075" TargetMode="External" Id="rId59" /><Relationship Type="http://schemas.openxmlformats.org/officeDocument/2006/relationships/hyperlink" Target="https://untappd.com/b/pivovarnya-chasha-thicket-brewery-disleksiya-dyslexia/6265313" TargetMode="External" Id="rId60" /><Relationship Type="http://schemas.openxmlformats.org/officeDocument/2006/relationships/hyperlink" Target="https://untappd.com/b/pivovarnya-chasha-thicket-brewery-koroleva-pentaklej-queen-of-pentacles/6213377" TargetMode="External" Id="rId61" /><Relationship Type="http://schemas.openxmlformats.org/officeDocument/2006/relationships/hyperlink" Target="https://untappd.com/b/pivovarnya-chasha-thicket-brewery-son-masala-christmas-edition/4637336" TargetMode="External" Id="rId62" /><Relationship Type="http://schemas.openxmlformats.org/officeDocument/2006/relationships/hyperlink" Target="https://untappd.com/b/pivovarnya-chasha-thicket-brewery-totem-ekuanot-simcoe-idaho-7/6157342" TargetMode="External" Id="rId63" /><Relationship Type="http://schemas.openxmlformats.org/officeDocument/2006/relationships/hyperlink" Target="https://untappd.com/b/pivovarnya-chasha-thicket-brewery-totem-medved-bear-totem/6332780" TargetMode="External" Id="rId64" /><Relationship Type="http://schemas.openxmlformats.org/officeDocument/2006/relationships/hyperlink" Target="https://untappd.com/b/pivovarnya-chasha-thicket-brewery-cambridge-music/6382197" TargetMode="External" Id="rId65" /><Relationship Type="http://schemas.openxmlformats.org/officeDocument/2006/relationships/hyperlink" Target="https://untappd.com/b/2-barrels-brewery-bananovye-mozgi/6397591" TargetMode="External" Id="rId66" /><Relationship Type="http://schemas.openxmlformats.org/officeDocument/2006/relationships/hyperlink" Target="https://untappd.com/b/brew-garage-78-don-mazilic/4500322" TargetMode="External" Id="rId67" /><Relationship Type="http://schemas.openxmlformats.org/officeDocument/2006/relationships/hyperlink" Target="https://untappd.com/b/2-barrels-brewery-ipacalypse-now/6383608" TargetMode="External" Id="rId68" /><Relationship Type="http://schemas.openxmlformats.org/officeDocument/2006/relationships/hyperlink" Target="https://untappd.com/b/2-barrels-brewery-staroparkala/5982648" TargetMode="External" Id="rId69" /><Relationship Type="http://schemas.openxmlformats.org/officeDocument/2006/relationships/hyperlink" Target="https://untappd.com/b/4brewers-addikciya/5745484" TargetMode="External" Id="rId70" /><Relationship Type="http://schemas.openxmlformats.org/officeDocument/2006/relationships/hyperlink" Target="https://untappd.com/b/4brewers-adzhika-mnogolika/5596172" TargetMode="External" Id="rId71" /><Relationship Type="http://schemas.openxmlformats.org/officeDocument/2006/relationships/hyperlink" Target="https://untappd.com/b/4brewers-chetyre-pivovara-vtoraya-lichnost/2016091" TargetMode="External" Id="rId72" /><Relationship Type="http://schemas.openxmlformats.org/officeDocument/2006/relationships/hyperlink" Target="https://untappd.com/b/4brewers-vygoranie/5613069" TargetMode="External" Id="rId73" /><Relationship Type="http://schemas.openxmlformats.org/officeDocument/2006/relationships/hyperlink" Target="https://untappd.com/b/4brewers-za-lisichki-poyasnyaem-v-lichke/6454688" TargetMode="External" Id="rId74" /><Relationship Type="http://schemas.openxmlformats.org/officeDocument/2006/relationships/hyperlink" Target="https://untappd.com/b/4brewers-zavisimost/2913906" TargetMode="External" Id="rId75" /><Relationship Type="http://schemas.openxmlformats.org/officeDocument/2006/relationships/hyperlink" Target="https://untappd.com/b/4brewers-zavisimost-bazilik/4940897" TargetMode="External" Id="rId76" /><Relationship Type="http://schemas.openxmlformats.org/officeDocument/2006/relationships/hyperlink" Target="https://untappd.com/b/4brewers-zavisimost-kinza/4919630" TargetMode="External" Id="rId77" /><Relationship Type="http://schemas.openxmlformats.org/officeDocument/2006/relationships/hyperlink" Target="https://untappd.com/b/4brewers-zavisimost-kopchenaya/6438575" TargetMode="External" Id="rId78" /><Relationship Type="http://schemas.openxmlformats.org/officeDocument/2006/relationships/hyperlink" Target="https://untappd.com/b/4brewers-zavisimost-chyornyj-perec/6004027" TargetMode="External" Id="rId79" /><Relationship Type="http://schemas.openxmlformats.org/officeDocument/2006/relationships/hyperlink" Target="https://untappd.com/b/4brewers-kislota-grapefruit/5899972" TargetMode="External" Id="rId80" /><Relationship Type="http://schemas.openxmlformats.org/officeDocument/2006/relationships/hyperlink" Target="https://untappd.com/b/4brewers-macho-gaspacho/6155144" TargetMode="External" Id="rId81" /><Relationship Type="http://schemas.openxmlformats.org/officeDocument/2006/relationships/hyperlink" Target="https://untappd.com/b/4brewers-ne-krichi-na-kimchi/5171197" TargetMode="External" Id="rId82" /><Relationship Type="http://schemas.openxmlformats.org/officeDocument/2006/relationships/hyperlink" Target="https://untappd.com/b/4brewers-nezhnost/5846046" TargetMode="External" Id="rId83" /><Relationship Type="http://schemas.openxmlformats.org/officeDocument/2006/relationships/hyperlink" Target="https://untappd.com/b/4brewers-rassol-diko-zol/5521831" TargetMode="External" Id="rId84" /><Relationship Type="http://schemas.openxmlformats.org/officeDocument/2006/relationships/hyperlink" Target="https://untappd.com/b/4brewers-stihiya/5863849" TargetMode="External" Id="rId85" /><Relationship Type="http://schemas.openxmlformats.org/officeDocument/2006/relationships/hyperlink" Target="https://untappd.com/b/4brewers-super-ego/5311384" TargetMode="External" Id="rId86" /><Relationship Type="http://schemas.openxmlformats.org/officeDocument/2006/relationships/hyperlink" Target="https://untappd.com/b/4brewers-tom-yam-master-dram/5704133" TargetMode="External" Id="rId87" /><Relationship Type="http://schemas.openxmlformats.org/officeDocument/2006/relationships/hyperlink" Target="https://untappd.com/b/4brewers-cheshskaya-desitka/6350935" TargetMode="External" Id="rId88" /><Relationship Type="http://schemas.openxmlformats.org/officeDocument/2006/relationships/hyperlink" Target="https://untappd.com/b/4brewers-kiss-my-soul/5171196" TargetMode="External" Id="rId89" /><Relationship Type="http://schemas.openxmlformats.org/officeDocument/2006/relationships/hyperlink" Target="https://untappd.com/b/4brewers-mein-konig/5764394" TargetMode="External" Id="rId90" /><Relationship Type="http://schemas.openxmlformats.org/officeDocument/2006/relationships/hyperlink" Target="https://untappd.com/b/4brewers-neuro-juice-banana-mango-guava-pineapple-passionfruit-orange/6438576" TargetMode="External" Id="rId91" /><Relationship Type="http://schemas.openxmlformats.org/officeDocument/2006/relationships/hyperlink" Target="https://untappd.com/b/4brewers-neuro-juice-black-currant-strawberry-cranberry-raspberry-cherry-cowberry/6454691" TargetMode="External" Id="rId92" /><Relationship Type="http://schemas.openxmlformats.org/officeDocument/2006/relationships/hyperlink" Target="https://untappd.com/b/4brewers-neuro-juice-mango-passionfruit/6446788" TargetMode="External" Id="rId93" /><Relationship Type="http://schemas.openxmlformats.org/officeDocument/2006/relationships/hyperlink" Target="https://untappd.com/b/4brewers-neuro-juice-orange-pulp-mango-pineapple/6446786" TargetMode="External" Id="rId94" /><Relationship Type="http://schemas.openxmlformats.org/officeDocument/2006/relationships/hyperlink" Target="https://untappd.com/b/4brewers-potato-day/4900143" TargetMode="External" Id="rId95" /><Relationship Type="http://schemas.openxmlformats.org/officeDocument/2006/relationships/hyperlink" Target="https://untappd.com/b/4brewers-santa-muerte/1803160" TargetMode="External" Id="rId96" /><Relationship Type="http://schemas.openxmlformats.org/officeDocument/2006/relationships/hyperlink" Target="https://untappd.com/b/4brewers-turn-pineapple/6374244" TargetMode="External" Id="rId97" /><Relationship Type="http://schemas.openxmlformats.org/officeDocument/2006/relationships/hyperlink" Target="https://untappd.com/b/atmosphere-brewery-anomaliya/4719975" TargetMode="External" Id="rId98" /><Relationship Type="http://schemas.openxmlformats.org/officeDocument/2006/relationships/hyperlink" Target="https://untappd.com/b/atmosphere-brewery-dela-lamy/5359465" TargetMode="External" Id="rId99" /><Relationship Type="http://schemas.openxmlformats.org/officeDocument/2006/relationships/hyperlink" Target="https://untappd.com/b/atmosphere-brewery-kislyj-dvizh/4588361" TargetMode="External" Id="rId100" /><Relationship Type="http://schemas.openxmlformats.org/officeDocument/2006/relationships/hyperlink" Target="https://untappd.com/b/atmosphere-brewery-letnij-vajb-malina/5428720" TargetMode="External" Id="rId101" /><Relationship Type="http://schemas.openxmlformats.org/officeDocument/2006/relationships/hyperlink" Target="https://untappd.com/b/atmosphere-brewery-letnij-vajb-chernaya-smorodina/5428722" TargetMode="External" Id="rId102" /><Relationship Type="http://schemas.openxmlformats.org/officeDocument/2006/relationships/hyperlink" Target="https://untappd.com/b/atmosphere-brewery-na-desert-banan-klubnika-vanil/5274054" TargetMode="External" Id="rId103" /><Relationship Type="http://schemas.openxmlformats.org/officeDocument/2006/relationships/hyperlink" Target="https://untappd.com/b/atmosphere-brewery-na-desert-banan-krasnyj-apelsin-mindal-vanil/5066530" TargetMode="External" Id="rId104" /><Relationship Type="http://schemas.openxmlformats.org/officeDocument/2006/relationships/hyperlink" Target="https://untappd.com/b/atmosphere-brewery-na-desert-vishnevyj-pirog/5579122" TargetMode="External" Id="rId105" /><Relationship Type="http://schemas.openxmlformats.org/officeDocument/2006/relationships/hyperlink" Target="https://untappd.com/b/atmosphere-brewery-na-desert-yabloko-korica-pechene/5066521" TargetMode="External" Id="rId106" /><Relationship Type="http://schemas.openxmlformats.org/officeDocument/2006/relationships/hyperlink" Target="https://untappd.com/b/atmosphere-brewery-psihodelicheskij-trip/5040702" TargetMode="External" Id="rId107" /><Relationship Type="http://schemas.openxmlformats.org/officeDocument/2006/relationships/hyperlink" Target="https://untappd.com/b/atmosphere-brewery-pylayushaya-dich/4173683" TargetMode="External" Id="rId108" /><Relationship Type="http://schemas.openxmlformats.org/officeDocument/2006/relationships/hyperlink" Target="https://untappd.com/b/atmosphere-brewery-tomatnaya-dich/3701697" TargetMode="External" Id="rId109" /><Relationship Type="http://schemas.openxmlformats.org/officeDocument/2006/relationships/hyperlink" Target="https://untappd.com/b/atmosphere-brewery-tomatnaya-dich-karri/6204184" TargetMode="External" Id="rId110" /><Relationship Type="http://schemas.openxmlformats.org/officeDocument/2006/relationships/hyperlink" Target="https://untappd.com/b/atmosphere-brewery-tomatnaya-dich-kimchi/5540399" TargetMode="External" Id="rId111" /><Relationship Type="http://schemas.openxmlformats.org/officeDocument/2006/relationships/hyperlink" Target="https://untappd.com/b/atmosphere-brewery-kopchenaya-tomatnaya-dich/5540390" TargetMode="External" Id="rId112" /><Relationship Type="http://schemas.openxmlformats.org/officeDocument/2006/relationships/hyperlink" Target="https://untappd.com/b/atmosphere-brewery-tomatnaya-dich-michelada/5540398" TargetMode="External" Id="rId113" /><Relationship Type="http://schemas.openxmlformats.org/officeDocument/2006/relationships/hyperlink" Target="https://untappd.com/b/atmosphere-brewery-tomatnaya-dich-mostarda/6204186" TargetMode="External" Id="rId114" /><Relationship Type="http://schemas.openxmlformats.org/officeDocument/2006/relationships/hyperlink" Target="https://untappd.com/b/atmosphere-brewery-ostraya-tomatnaya-dich-v-2-0/4227204" TargetMode="External" Id="rId115" /><Relationship Type="http://schemas.openxmlformats.org/officeDocument/2006/relationships/hyperlink" Target="https://untappd.com/b/atmosphere-brewery-tropicheskaya-dich-v-2-0/3974035" TargetMode="External" Id="rId116" /><Relationship Type="http://schemas.openxmlformats.org/officeDocument/2006/relationships/hyperlink" Target="https://untappd.com/b/atmosphere-brewery-udar-tajsona/4983719" TargetMode="External" Id="rId117" /><Relationship Type="http://schemas.openxmlformats.org/officeDocument/2006/relationships/hyperlink" Target="https://untappd.com/b/atmosphere-brewery-full-immersion/5111493" TargetMode="External" Id="rId118" /><Relationship Type="http://schemas.openxmlformats.org/officeDocument/2006/relationships/hyperlink" Target="https://untappd.com/b/atmosphere-brewery-mousse-cake-raspberry-apricot/5152506" TargetMode="External" Id="rId119" /><Relationship Type="http://schemas.openxmlformats.org/officeDocument/2006/relationships/hyperlink" Target="https://untappd.com/b/atmosphere-brewery-sour-club/5676367" TargetMode="External" Id="rId120" /><Relationship Type="http://schemas.openxmlformats.org/officeDocument/2006/relationships/hyperlink" Target="https://untappd.com/b/atmosphere-brewery-tropical-mix/5486939" TargetMode="External" Id="rId121" /><Relationship Type="http://schemas.openxmlformats.org/officeDocument/2006/relationships/hyperlink" Target="https://untappd.com/b/big-pot-4-anniversary-smoothie-ale/6196347" TargetMode="External" Id="rId122" /><Relationship Type="http://schemas.openxmlformats.org/officeDocument/2006/relationships/hyperlink" Target="https://untappd.com/b/big-pot-vspyshka/6332797" TargetMode="External" Id="rId123" /><Relationship Type="http://schemas.openxmlformats.org/officeDocument/2006/relationships/hyperlink" Target="https://untappd.com/b/big-pot-pirog-marakujya-sliva-malina/6196352" TargetMode="External" Id="rId124" /><Relationship Type="http://schemas.openxmlformats.org/officeDocument/2006/relationships/hyperlink" Target="https://untappd.com/b/big-pot-pirog-marakujya-klubnika/6196354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birds-passion-fruit-and-pineapple-and-mango-and-banana/6283041" TargetMode="External" Id="rId132" /><Relationship Type="http://schemas.openxmlformats.org/officeDocument/2006/relationships/hyperlink" Target="https://untappd.com/b/big-pot-first-love-black-currant-and-banana-and-raspberry/5877491" TargetMode="External" Id="rId133" /><Relationship Type="http://schemas.openxmlformats.org/officeDocument/2006/relationships/hyperlink" Target="https://untappd.com/b/big-pot-serotonin-black-currant-and-blueberry-and-mango/4898841" TargetMode="External" Id="rId134" /><Relationship Type="http://schemas.openxmlformats.org/officeDocument/2006/relationships/hyperlink" Target="https://untappd.com/b/big-pot-serotonin-guava-and-banana-and-raspberry-and-blackberry/5177007" TargetMode="External" Id="rId135" /><Relationship Type="http://schemas.openxmlformats.org/officeDocument/2006/relationships/hyperlink" Target="https://untappd.com/b/big-pot-serotonin-guava-and-papaya-and-peach-and-raspberry/4786950" TargetMode="External" Id="rId136" /><Relationship Type="http://schemas.openxmlformats.org/officeDocument/2006/relationships/hyperlink" Target="https://untappd.com/b/big-pot-serotonin-mango-and-plum-and-peach/5013088" TargetMode="External" Id="rId137" /><Relationship Type="http://schemas.openxmlformats.org/officeDocument/2006/relationships/hyperlink" Target="https://untappd.com/b/big-pot-serotonin-strawberry-and-guava/4621146" TargetMode="External" Id="rId138" /><Relationship Type="http://schemas.openxmlformats.org/officeDocument/2006/relationships/hyperlink" Target="https://untappd.com/b/big-pot-tomato-tomato-ukrop/6262102" TargetMode="External" Id="rId139" /><Relationship Type="http://schemas.openxmlformats.org/officeDocument/2006/relationships/hyperlink" Target="https://untappd.com/b/big-pot-very-tasty/6235455" TargetMode="External" Id="rId140" /><Relationship Type="http://schemas.openxmlformats.org/officeDocument/2006/relationships/hyperlink" Target="https://untappd.com/b/big-village-brewery-abc-kolsch/3669313" TargetMode="External" Id="rId141" /><Relationship Type="http://schemas.openxmlformats.org/officeDocument/2006/relationships/hyperlink" Target="https://untappd.com/b/big-village-brewery-abc-weizen/3126178" TargetMode="External" Id="rId142" /><Relationship Type="http://schemas.openxmlformats.org/officeDocument/2006/relationships/hyperlink" Target="https://untappd.com/b/big-village-brewery-backyard-party/5369794" TargetMode="External" Id="rId143" /><Relationship Type="http://schemas.openxmlformats.org/officeDocument/2006/relationships/hyperlink" Target="https://untappd.com/b/big-village-brewery-duck-stories/6046976" TargetMode="External" Id="rId144" /><Relationship Type="http://schemas.openxmlformats.org/officeDocument/2006/relationships/hyperlink" Target="https://untappd.com/b/big-village-brewery-fruitride/6430163" TargetMode="External" Id="rId145" /><Relationship Type="http://schemas.openxmlformats.org/officeDocument/2006/relationships/hyperlink" Target="https://untappd.com/b/big-village-brewery-momijigari/4999066" TargetMode="External" Id="rId146" /><Relationship Type="http://schemas.openxmlformats.org/officeDocument/2006/relationships/hyperlink" Target="https://untappd.com/b/big-village-brewery-no-sleep-time/6446208" TargetMode="External" Id="rId147" /><Relationship Type="http://schemas.openxmlformats.org/officeDocument/2006/relationships/hyperlink" Target="https://untappd.com/b/big-village-brewery-repose/6430167" TargetMode="External" Id="rId148" /><Relationship Type="http://schemas.openxmlformats.org/officeDocument/2006/relationships/hyperlink" Target="https://untappd.com/b/big-village-brewery-seven-shimmers/6446218" TargetMode="External" Id="rId149" /><Relationship Type="http://schemas.openxmlformats.org/officeDocument/2006/relationships/hyperlink" Target="https://untappd.com/b/big-village-brewery-solar-pressure-orange-ed/6401156" TargetMode="External" Id="rId150" /><Relationship Type="http://schemas.openxmlformats.org/officeDocument/2006/relationships/hyperlink" Target="https://untappd.com/b/big-village-brewery-tiny-love/6446206" TargetMode="External" Id="rId151" /><Relationship Type="http://schemas.openxmlformats.org/officeDocument/2006/relationships/hyperlink" Target="https://untappd.com/b/big-village-brewery-village-stout/6430158" TargetMode="External" Id="rId152" /><Relationship Type="http://schemas.openxmlformats.org/officeDocument/2006/relationships/hyperlink" Target="https://untappd.com/b/big-village-brewery-who-is-here/6239246" TargetMode="External" Id="rId153" /><Relationship Type="http://schemas.openxmlformats.org/officeDocument/2006/relationships/hyperlink" Target="https://untappd.com/b/big-village-brewery-winds-of-fear/6348058" TargetMode="External" Id="rId154" /><Relationship Type="http://schemas.openxmlformats.org/officeDocument/2006/relationships/hyperlink" Target="https://untappd.com/b/lyubovcev-vstrecha/6266131" TargetMode="External" Id="rId155" /><Relationship Type="http://schemas.openxmlformats.org/officeDocument/2006/relationships/hyperlink" Target="https://untappd.com/b/lyubovcev-vtoroe-dyhanie/6266119" TargetMode="External" Id="rId156" /><Relationship Type="http://schemas.openxmlformats.org/officeDocument/2006/relationships/hyperlink" Target="https://untappd.com/b/boxing-wizard-brewery-banshee/5588464" TargetMode="External" Id="rId157" /><Relationship Type="http://schemas.openxmlformats.org/officeDocument/2006/relationships/hyperlink" Target="https://untappd.com/b/boxing-wizard-brewery-braw-chuchter/5229408" TargetMode="External" Id="rId158" /><Relationship Type="http://schemas.openxmlformats.org/officeDocument/2006/relationships/hyperlink" Target="https://untappd.com/b/boxing-wizard-brewery-conwy-castle/5283170" TargetMode="External" Id="rId159" /><Relationship Type="http://schemas.openxmlformats.org/officeDocument/2006/relationships/hyperlink" Target="https://untappd.com/b/boxing-wizard-brewery-dogmatic/6202603" TargetMode="External" Id="rId160" /><Relationship Type="http://schemas.openxmlformats.org/officeDocument/2006/relationships/hyperlink" Target="https://untappd.com/b/boxing-wizard-brewery-irish-wolf/5168629" TargetMode="External" Id="rId161" /><Relationship Type="http://schemas.openxmlformats.org/officeDocument/2006/relationships/hyperlink" Target="https://untappd.com/b/boxing-wizard-brewery-jackeen/5019613" TargetMode="External" Id="rId162" /><Relationship Type="http://schemas.openxmlformats.org/officeDocument/2006/relationships/hyperlink" Target="https://untappd.com/b/boxing-wizard-brewery-maythorn/4896655" TargetMode="External" Id="rId163" /><Relationship Type="http://schemas.openxmlformats.org/officeDocument/2006/relationships/hyperlink" Target="https://untappd.com/b/boxing-wizard-brewery-moxie/4808117" TargetMode="External" Id="rId164" /><Relationship Type="http://schemas.openxmlformats.org/officeDocument/2006/relationships/hyperlink" Target="https://untappd.com/b/boxing-wizard-brewery-sound-bevvy/5579070" TargetMode="External" Id="rId165" /><Relationship Type="http://schemas.openxmlformats.org/officeDocument/2006/relationships/hyperlink" Target="https://untappd.com/b/boxing-wizard-brewery-suckin-diesel-hell/5774322" TargetMode="External" Id="rId166" /><Relationship Type="http://schemas.openxmlformats.org/officeDocument/2006/relationships/hyperlink" Target="https://untappd.com/b/dieta-dieta-v-sobstvennom-soku-vishnya/5423610" TargetMode="External" Id="rId167" /><Relationship Type="http://schemas.openxmlformats.org/officeDocument/2006/relationships/hyperlink" Target="https://untappd.com/b/dieta-dieta-v-sobstvennom-soku-klyukva/6211448" TargetMode="External" Id="rId168" /><Relationship Type="http://schemas.openxmlformats.org/officeDocument/2006/relationships/hyperlink" Target="https://untappd.com/b/dieta-dieta-desert-v-tvoem-bokale/6290811" TargetMode="External" Id="rId169" /><Relationship Type="http://schemas.openxmlformats.org/officeDocument/2006/relationships/hyperlink" Target="https://untappd.com/b/dieta-dieta-ostryj-sinor-pomidor/5575634" TargetMode="External" Id="rId170" /><Relationship Type="http://schemas.openxmlformats.org/officeDocument/2006/relationships/hyperlink" Target="https://untappd.com/b/dieta-dieta-sinor-pomidor-i-bratec-bazilik/6110135" TargetMode="External" Id="rId171" /><Relationship Type="http://schemas.openxmlformats.org/officeDocument/2006/relationships/hyperlink" Target="https://untappd.com/b/dieta-dieta-sinor-pomidor-i-drug-ego-timyan/5828388" TargetMode="External" Id="rId172" /><Relationship Type="http://schemas.openxmlformats.org/officeDocument/2006/relationships/hyperlink" Target="https://untappd.com/b/dieta-dieta-drink-em-all/6398470" TargetMode="External" Id="rId173" /><Relationship Type="http://schemas.openxmlformats.org/officeDocument/2006/relationships/hyperlink" Target="https://untappd.com/b/dieta-dieta-hot-smoothie-you-deserve-mango/3203119" TargetMode="External" Id="rId174" /><Relationship Type="http://schemas.openxmlformats.org/officeDocument/2006/relationships/hyperlink" Target="https://untappd.com/b/dieta-dieta-iso-fucking-tonic/6367232" TargetMode="External" Id="rId175" /><Relationship Type="http://schemas.openxmlformats.org/officeDocument/2006/relationships/hyperlink" Target="https://untappd.com/b/dieta-dieta-seven-lands/6290807" TargetMode="External" Id="rId176" /><Relationship Type="http://schemas.openxmlformats.org/officeDocument/2006/relationships/hyperlink" Target="https://untappd.com/b/dieta-dieta-seven-seas/6290803" TargetMode="External" Id="rId177" /><Relationship Type="http://schemas.openxmlformats.org/officeDocument/2006/relationships/hyperlink" Target="https://untappd.com/b/dieta-dieta-tropical-domination/6445134" TargetMode="External" Id="rId178" /><Relationship Type="http://schemas.openxmlformats.org/officeDocument/2006/relationships/hyperlink" Target="https://untappd.com/b/gas-brew-hidden-garden-6/4804304" TargetMode="External" Id="rId179" /><Relationship Type="http://schemas.openxmlformats.org/officeDocument/2006/relationships/hyperlink" Target="https://untappd.com/b/gas-brew-northern-nomad/6360356" TargetMode="External" Id="rId180" /><Relationship Type="http://schemas.openxmlformats.org/officeDocument/2006/relationships/hyperlink" Target="https://untappd.com/b/gas-brew-summertime-ipa/6341219" TargetMode="External" Id="rId181" /><Relationship Type="http://schemas.openxmlformats.org/officeDocument/2006/relationships/hyperlink" Target="https://untappd.com/b/horror-brewing-golova/6365743" TargetMode="External" Id="rId182" /><Relationship Type="http://schemas.openxmlformats.org/officeDocument/2006/relationships/hyperlink" Target="https://untappd.com/b/horror-brewing-a-night-in-the-lonesome-october/6431121" TargetMode="External" Id="rId183" /><Relationship Type="http://schemas.openxmlformats.org/officeDocument/2006/relationships/hyperlink" Target="https://untappd.com/b/horror-brewing-festival-destroyer/6365736" TargetMode="External" Id="rId184" /><Relationship Type="http://schemas.openxmlformats.org/officeDocument/2006/relationships/hyperlink" Target="https://untappd.com/b/horror-brewing-midnight-beast/6376072" TargetMode="External" Id="rId185" /><Relationship Type="http://schemas.openxmlformats.org/officeDocument/2006/relationships/hyperlink" Target="https://untappd.com/b/horror-brewing-tripod/6245262" TargetMode="External" Id="rId186" /><Relationship Type="http://schemas.openxmlformats.org/officeDocument/2006/relationships/hyperlink" Target="https://untappd.com/b/khoffner-brewery-vydyhaj/6289469?edit=success&amp;edit=success" TargetMode="External" Id="rId187" /><Relationship Type="http://schemas.openxmlformats.org/officeDocument/2006/relationships/hyperlink" Target="https://untappd.com/b/khoffner-brewery-dobro/6374234" TargetMode="External" Id="rId188" /><Relationship Type="http://schemas.openxmlformats.org/officeDocument/2006/relationships/hyperlink" Target="https://untappd.com/b/khoffner-brewery-neizbezhnost/6221046" TargetMode="External" Id="rId189" /><Relationship Type="http://schemas.openxmlformats.org/officeDocument/2006/relationships/hyperlink" Target="https://untappd.com/b/khoffner-brewery-tvoj-horoshij-malchik/6181883" TargetMode="External" Id="rId190" /><Relationship Type="http://schemas.openxmlformats.org/officeDocument/2006/relationships/hyperlink" Target="https://untappd.com/b/khoffner-brewery-borgata/6172671" TargetMode="External" Id="rId191" /><Relationship Type="http://schemas.openxmlformats.org/officeDocument/2006/relationships/hyperlink" Target="https://untappd.com/b/khoffner-brewery-days-sober-00/6142989" TargetMode="External" Id="rId192" /><Relationship Type="http://schemas.openxmlformats.org/officeDocument/2006/relationships/hyperlink" Target="https://untappd.com/b/khoffner-brewery-hungry-artist/6148534" TargetMode="External" Id="rId193" /><Relationship Type="http://schemas.openxmlformats.org/officeDocument/2006/relationships/hyperlink" Target="https://untappd.com/b/khoffner-brewery-lagerline/6333993" TargetMode="External" Id="rId194" /><Relationship Type="http://schemas.openxmlformats.org/officeDocument/2006/relationships/hyperlink" Target="https://untappd.com/b/khoffner-brewery-la-lucha-libre/5256631" TargetMode="External" Id="rId195" /><Relationship Type="http://schemas.openxmlformats.org/officeDocument/2006/relationships/hyperlink" Target="https://untappd.com/b/khoffner-brewery-la-lucha-libre-extra/5714495" TargetMode="External" Id="rId196" /><Relationship Type="http://schemas.openxmlformats.org/officeDocument/2006/relationships/hyperlink" Target="https://untappd.com/b/khoffner-brewery-neipat-kolotit/6202544" TargetMode="External" Id="rId197" /><Relationship Type="http://schemas.openxmlformats.org/officeDocument/2006/relationships/hyperlink" Target="https://untappd.com/b/chibis-brewery-tripel-monke/6108710" TargetMode="External" Id="rId198" /><Relationship Type="http://schemas.openxmlformats.org/officeDocument/2006/relationships/hyperlink" Target="https://untappd.com/b/mantra-sheesecake-point-blueberry-banana-and-almond/6332098" TargetMode="External" Id="rId199" /><Relationship Type="http://schemas.openxmlformats.org/officeDocument/2006/relationships/hyperlink" Target="https://untappd.com/b/mantra-croissant-adept-cherry-raspberry-and-peanut-butter/6328762" TargetMode="External" Id="rId200" /><Relationship Type="http://schemas.openxmlformats.org/officeDocument/2006/relationships/hyperlink" Target="https://untappd.com/b/mantra-dessert-messiah-cherry-macaroon-and-almond-syrup/6421533" TargetMode="External" Id="rId201" /><Relationship Type="http://schemas.openxmlformats.org/officeDocument/2006/relationships/hyperlink" Target="https://untappd.com/b/mantra-fracture-apple-and-pomegranate/4306384" TargetMode="External" Id="rId202" /><Relationship Type="http://schemas.openxmlformats.org/officeDocument/2006/relationships/hyperlink" Target="https://untappd.com/b/mantra-fracture-lingonberry-and-jalapeno/5751618" TargetMode="External" Id="rId203" /><Relationship Type="http://schemas.openxmlformats.org/officeDocument/2006/relationships/hyperlink" Target="https://untappd.com/b/mantra-galaxy-edge-blue-milk/5480271" TargetMode="External" Id="rId204" /><Relationship Type="http://schemas.openxmlformats.org/officeDocument/2006/relationships/hyperlink" Target="https://untappd.com/b/mantra-hellbringer/6421596" TargetMode="External" Id="rId205" /><Relationship Type="http://schemas.openxmlformats.org/officeDocument/2006/relationships/hyperlink" Target="https://untappd.com/b/mantra-lemonade-cherry/6366624" TargetMode="External" Id="rId206" /><Relationship Type="http://schemas.openxmlformats.org/officeDocument/2006/relationships/hyperlink" Target="https://untappd.com/b/mantra-lemonade-grape/6297223" TargetMode="External" Id="rId207" /><Relationship Type="http://schemas.openxmlformats.org/officeDocument/2006/relationships/hyperlink" Target="https://untappd.com/b/mantra-shake-bus-banana-passion-fruit-and-calamansi/5320007" TargetMode="External" Id="rId208" /><Relationship Type="http://schemas.openxmlformats.org/officeDocument/2006/relationships/hyperlink" Target="https://untappd.com/b/mantra-waffle-shuffle-banana-strawberry-and-chocolate-syrup/6297282" TargetMode="External" Id="rId209" /><Relationship Type="http://schemas.openxmlformats.org/officeDocument/2006/relationships/hyperlink" Target="https://untappd.com/b/mantra-waffle-shuffle-mango-grape-and-toffee/6366636" TargetMode="External" Id="rId210" /><Relationship Type="http://schemas.openxmlformats.org/officeDocument/2006/relationships/hyperlink" Target="https://untappd.com/b/mantra-yogurt-apricot/6246286" TargetMode="External" Id="rId211" /><Relationship Type="http://schemas.openxmlformats.org/officeDocument/2006/relationships/hyperlink" Target="https://untappd.com/b/magic-mess-ptichij-korob/6373467" TargetMode="External" Id="rId212" /><Relationship Type="http://schemas.openxmlformats.org/officeDocument/2006/relationships/hyperlink" Target="https://untappd.com/b/on-the-bones-contract-brewery-glavnoe-uchastie-collab-dieta/6407064" TargetMode="External" Id="rId213" /><Relationship Type="http://schemas.openxmlformats.org/officeDocument/2006/relationships/hyperlink" Target="https://untappd.com/b/on-the-bones-contract-brewery-laska-nerpy/1860632" TargetMode="External" Id="rId214" /><Relationship Type="http://schemas.openxmlformats.org/officeDocument/2006/relationships/hyperlink" Target="https://untappd.com/b/on-the-bones-contract-brewery-sannyj-sport/4137399" TargetMode="External" Id="rId215" /><Relationship Type="http://schemas.openxmlformats.org/officeDocument/2006/relationships/hyperlink" Target="https://untappd.com/b/on-the-bones-contract-brewery-toksovskij-tramplin/1405111" TargetMode="External" Id="rId216" /><Relationship Type="http://schemas.openxmlformats.org/officeDocument/2006/relationships/hyperlink" Target="https://untappd.com/b/on-the-bones-contract-brewery-cheri-cheri-lady-collab-af-brew/6309183" TargetMode="External" Id="rId217" /><Relationship Type="http://schemas.openxmlformats.org/officeDocument/2006/relationships/hyperlink" Target="https://untappd.com/b/on-the-bones-contract-brewery-salt-mate/4245522" TargetMode="External" Id="rId218" /><Relationship Type="http://schemas.openxmlformats.org/officeDocument/2006/relationships/hyperlink" Target="https://untappd.com/b/on-the-bones-contract-brewery-strawberry-lips/6230649" TargetMode="External" Id="rId219" /><Relationship Type="http://schemas.openxmlformats.org/officeDocument/2006/relationships/hyperlink" Target="https://untappd.com/b/ostrovica-b-day-lager/1591905" TargetMode="External" Id="rId220" /><Relationship Type="http://schemas.openxmlformats.org/officeDocument/2006/relationships/hyperlink" Target="https://untappd.com/b/ostrovica-birthday-boy/6254481" TargetMode="External" Id="rId221" /><Relationship Type="http://schemas.openxmlformats.org/officeDocument/2006/relationships/hyperlink" Target="https://untappd.com/b/ostrovica-everyday-clown/5128520" TargetMode="External" Id="rId222" /><Relationship Type="http://schemas.openxmlformats.org/officeDocument/2006/relationships/hyperlink" Target="https://untappd.com/b/ostrovica-dry-stout/6199912" TargetMode="External" Id="rId223" /><Relationship Type="http://schemas.openxmlformats.org/officeDocument/2006/relationships/hyperlink" Target="https://untappd.com/b/ostrovica-fake-plants-w-blueberry-raspberry-and-bergamot/5748125" TargetMode="External" Id="rId224" /><Relationship Type="http://schemas.openxmlformats.org/officeDocument/2006/relationships/hyperlink" Target="https://untappd.com/b/ostrovica-fake-plants-guanabana-x-strawberry/6298003" TargetMode="External" Id="rId225" /><Relationship Type="http://schemas.openxmlformats.org/officeDocument/2006/relationships/hyperlink" Target="https://untappd.com/b/ostrovica-gose/4516626" TargetMode="External" Id="rId226" /><Relationship Type="http://schemas.openxmlformats.org/officeDocument/2006/relationships/hyperlink" Target="https://untappd.com/b/ostrovica-helles/5275645" TargetMode="External" Id="rId227" /><Relationship Type="http://schemas.openxmlformats.org/officeDocument/2006/relationships/hyperlink" Target="https://untappd.com/b/ostrovica-holy-dipa/1962051" TargetMode="External" Id="rId228" /><Relationship Type="http://schemas.openxmlformats.org/officeDocument/2006/relationships/hyperlink" Target="https://untappd.com/b/ostrovica-ipa/1304151" TargetMode="External" Id="rId229" /><Relationship Type="http://schemas.openxmlformats.org/officeDocument/2006/relationships/hyperlink" Target="https://untappd.com/b/ostrovica-juicy-ipa/4837657" TargetMode="External" Id="rId230" /><Relationship Type="http://schemas.openxmlformats.org/officeDocument/2006/relationships/hyperlink" Target="https://untappd.com/b/ostrovica-stout/1518335" TargetMode="External" Id="rId231" /><Relationship Type="http://schemas.openxmlformats.org/officeDocument/2006/relationships/hyperlink" Target="https://untappd.com/b/ostrovica-pale-ale/3799694" TargetMode="External" Id="rId232" /><Relationship Type="http://schemas.openxmlformats.org/officeDocument/2006/relationships/hyperlink" Target="https://untappd.com/b/ostrovica-pils/1872862" TargetMode="External" Id="rId233" /><Relationship Type="http://schemas.openxmlformats.org/officeDocument/2006/relationships/hyperlink" Target="https://untappd.com/b/ostrovica-pils/1872862" TargetMode="External" Id="rId234" /><Relationship Type="http://schemas.openxmlformats.org/officeDocument/2006/relationships/hyperlink" Target="https://untappd.com/b/ostrovica-seven-seconds/6254528" TargetMode="External" Id="rId235" /><Relationship Type="http://schemas.openxmlformats.org/officeDocument/2006/relationships/hyperlink" Target="https://untappd.com/b/ostrovica-weizen/4785388" TargetMode="External" Id="rId236" /><Relationship Type="http://schemas.openxmlformats.org/officeDocument/2006/relationships/hyperlink" Target="https://untappd.com/b/ostrovica-weizen/4785388" TargetMode="External" Id="rId237" /><Relationship Type="http://schemas.openxmlformats.org/officeDocument/2006/relationships/hyperlink" Target="https://untappd.com/b/ostrovica-wish-wish/4813284" TargetMode="External" Id="rId238" /><Relationship Type="http://schemas.openxmlformats.org/officeDocument/2006/relationships/hyperlink" Target="https://untappd.com/b/plague-brew-lemon-forester/5648481" TargetMode="External" Id="rId239" /><Relationship Type="http://schemas.openxmlformats.org/officeDocument/2006/relationships/hyperlink" Target="https://untappd.com/b/rebel-apple-carmilla-sherry-cider/5355130" TargetMode="External" Id="rId240" /><Relationship Type="http://schemas.openxmlformats.org/officeDocument/2006/relationships/hyperlink" Target="https://untappd.com/b/rebel-apple-dickiy-crest-medium-dry/4279282" TargetMode="External" Id="rId241" /><Relationship Type="http://schemas.openxmlformats.org/officeDocument/2006/relationships/hyperlink" Target="https://untappd.com/b/rebel-apple-eden-sin-chapter-iii/5885210" TargetMode="External" Id="rId242" /><Relationship Type="http://schemas.openxmlformats.org/officeDocument/2006/relationships/hyperlink" Target="https://untappd.com/b/rebel-apple-pet-nat-by-rebel-apple/5885227" TargetMode="External" Id="rId243" /><Relationship Type="http://schemas.openxmlformats.org/officeDocument/2006/relationships/hyperlink" Target="https://untappd.com/b/red-button-brewery-aurora-tropicalis/6448656" TargetMode="External" Id="rId244" /><Relationship Type="http://schemas.openxmlformats.org/officeDocument/2006/relationships/hyperlink" Target="https://untappd.com/b/red-button-brewery-berry-sour-kitchen-black-currant-x-mint/5935427" TargetMode="External" Id="rId245" /><Relationship Type="http://schemas.openxmlformats.org/officeDocument/2006/relationships/hyperlink" Target="https://untappd.com/b/red-button-brewery-cilantro/6315761" TargetMode="External" Id="rId246" /><Relationship Type="http://schemas.openxmlformats.org/officeDocument/2006/relationships/hyperlink" Target="https://untappd.com/b/red-button-brewery-fondue-fountain/3030936" TargetMode="External" Id="rId247" /><Relationship Type="http://schemas.openxmlformats.org/officeDocument/2006/relationships/hyperlink" Target="https://untappd.com/b/red-button-brewery-king-helle-dry-hop-batch/6123632" TargetMode="External" Id="rId248" /><Relationship Type="http://schemas.openxmlformats.org/officeDocument/2006/relationships/hyperlink" Target="https://untappd.com/b/red-button-brewery-kuts-estragon-batch/6348503" TargetMode="External" Id="rId249" /><Relationship Type="http://schemas.openxmlformats.org/officeDocument/2006/relationships/hyperlink" Target="https://untappd.com/b/red-button-brewery-kuts-original/4725176" TargetMode="External" Id="rId250" /><Relationship Type="http://schemas.openxmlformats.org/officeDocument/2006/relationships/hyperlink" Target="https://untappd.com/b/red-button-brewery-kuts-sea-salt-batch/5495720" TargetMode="External" Id="rId251" /><Relationship Type="http://schemas.openxmlformats.org/officeDocument/2006/relationships/hyperlink" Target="https://untappd.com/b/red-button-brewery-kuts-sichuan-batch/6383170" TargetMode="External" Id="rId252" /><Relationship Type="http://schemas.openxmlformats.org/officeDocument/2006/relationships/hyperlink" Target="https://untappd.com/b/red-button-brewery-matilde-frozen/6448651" TargetMode="External" Id="rId253" /><Relationship Type="http://schemas.openxmlformats.org/officeDocument/2006/relationships/hyperlink" Target="https://untappd.com/b/red-button-brewery-meet-and-greet-black-tea-x-raspberry/6212693" TargetMode="External" Id="rId254" /><Relationship Type="http://schemas.openxmlformats.org/officeDocument/2006/relationships/hyperlink" Target="https://untappd.com/b/red-button-brewery-melchior/6415924" TargetMode="External" Id="rId255" /><Relationship Type="http://schemas.openxmlformats.org/officeDocument/2006/relationships/hyperlink" Target="https://untappd.com/b/red-button-brewery-micro-kuts-little-gose/6236353" TargetMode="External" Id="rId256" /><Relationship Type="http://schemas.openxmlformats.org/officeDocument/2006/relationships/hyperlink" Target="https://untappd.com/b/red-button-brewery-pure-shores/2502623" TargetMode="External" Id="rId257" /><Relationship Type="http://schemas.openxmlformats.org/officeDocument/2006/relationships/hyperlink" Target="https://untappd.com/b/red-button-brewery-puzzle-berry-sour/6448662" TargetMode="External" Id="rId258" /><Relationship Type="http://schemas.openxmlformats.org/officeDocument/2006/relationships/hyperlink" Target="https://untappd.com/b/red-button-brewery-tale-of-us-2025-batch/6220854" TargetMode="External" Id="rId259" /><Relationship Type="http://schemas.openxmlformats.org/officeDocument/2006/relationships/hyperlink" Target="https://untappd.com/b/red-button-brewery-tartigo/6448660" TargetMode="External" Id="rId260" /><Relationship Type="http://schemas.openxmlformats.org/officeDocument/2006/relationships/hyperlink" Target="https://untappd.com/b/red-button-brewery-tropical-trip/6194389" TargetMode="External" Id="rId261" /><Relationship Type="http://schemas.openxmlformats.org/officeDocument/2006/relationships/hyperlink" Target="https://untappd.com/b/red-button-brewery-vari-corn-and-rice-beer/6314918" TargetMode="External" Id="rId262" /><Relationship Type="http://schemas.openxmlformats.org/officeDocument/2006/relationships/hyperlink" Target="https://untappd.com/b/red-button-brewery-vari-oat-beer/6446878" TargetMode="External" Id="rId263" /><Relationship Type="http://schemas.openxmlformats.org/officeDocument/2006/relationships/hyperlink" Target="https://untappd.com/b/red-button-brewery-xtv-1-frozen/6425241" TargetMode="External" Id="rId264" /><Relationship Type="http://schemas.openxmlformats.org/officeDocument/2006/relationships/hyperlink" Target="https://untappd.com/b/red-rocket-brewery-citrus-groove/6445194" TargetMode="External" Id="rId265" /><Relationship Type="http://schemas.openxmlformats.org/officeDocument/2006/relationships/hyperlink" Target="https://untappd.com/b/red-rocket-brewery-ding-dong/6335176" TargetMode="External" Id="rId266" /><Relationship Type="http://schemas.openxmlformats.org/officeDocument/2006/relationships/hyperlink" Target="https://untappd.com/b/red-rocket-brewery-dipa/6158498" TargetMode="External" Id="rId267" /><Relationship Type="http://schemas.openxmlformats.org/officeDocument/2006/relationships/hyperlink" Target="https://untappd.com/b/red-rocket-brewery-domofon-apa/6308902" TargetMode="External" Id="rId268" /><Relationship Type="http://schemas.openxmlformats.org/officeDocument/2006/relationships/hyperlink" Target="https://untappd.com/b/red-rocket-brewery-dry-stout/6046324" TargetMode="External" Id="rId269" /><Relationship Type="http://schemas.openxmlformats.org/officeDocument/2006/relationships/hyperlink" Target="https://untappd.com/b/red-rocket-brewery-esb/5218599" TargetMode="External" Id="rId270" /><Relationship Type="http://schemas.openxmlformats.org/officeDocument/2006/relationships/hyperlink" Target="https://untappd.com/b/red-rocket-brewery-hoppy-lager/6254504" TargetMode="External" Id="rId271" /><Relationship Type="http://schemas.openxmlformats.org/officeDocument/2006/relationships/hyperlink" Target="https://untappd.com/b/red-rocket-brewery-kellerbier/6316013" TargetMode="External" Id="rId272" /><Relationship Type="http://schemas.openxmlformats.org/officeDocument/2006/relationships/hyperlink" Target="https://untappd.com/b/red-rocket-brewery-kodama/6308903" TargetMode="External" Id="rId273" /><Relationship Type="http://schemas.openxmlformats.org/officeDocument/2006/relationships/hyperlink" Target="https://untappd.com/b/red-rocket-brewery-kolsch/6332075" TargetMode="External" Id="rId274" /><Relationship Type="http://schemas.openxmlformats.org/officeDocument/2006/relationships/hyperlink" Target="https://untappd.com/b/red-rocket-brewery-krasnie-mokasiny/6332072" TargetMode="External" Id="rId275" /><Relationship Type="http://schemas.openxmlformats.org/officeDocument/2006/relationships/hyperlink" Target="https://untappd.com/b/red-rocket-brewery-perennial-quest/6239157" TargetMode="External" Id="rId276" /><Relationship Type="http://schemas.openxmlformats.org/officeDocument/2006/relationships/hyperlink" Target="https://untappd.com/b/red-rocket-brewery-dry-stout/6046324" TargetMode="External" Id="rId277" /><Relationship Type="http://schemas.openxmlformats.org/officeDocument/2006/relationships/hyperlink" Target="https://untappd.com/b/red-rocket-brewery-transistor/6440850" TargetMode="External" Id="rId278" /><Relationship Type="http://schemas.openxmlformats.org/officeDocument/2006/relationships/hyperlink" Target="https://untappd.com/b/red-rocket-brewery-we-took-a-photo-for-this-collab-a-year-and-a-half-ago/6308905" TargetMode="External" Id="rId279" /><Relationship Type="http://schemas.openxmlformats.org/officeDocument/2006/relationships/hyperlink" Target="https://untappd.com/b/red-rocket-brewery-where-is-my-wind/6356326" TargetMode="External" Id="rId280" /><Relationship Type="http://schemas.openxmlformats.org/officeDocument/2006/relationships/hyperlink" Target="https://untappd.com/b/selfmade-brewery-arcane-gleam/6446131" TargetMode="External" Id="rId281" /><Relationship Type="http://schemas.openxmlformats.org/officeDocument/2006/relationships/hyperlink" Target="https://untappd.com/b/selfmade-brewery-bright-queen/5193587" TargetMode="External" Id="rId282" /><Relationship Type="http://schemas.openxmlformats.org/officeDocument/2006/relationships/hyperlink" Target="https://untappd.com/b/selfmade-brewery-ceremony/4080449" TargetMode="External" Id="rId283" /><Relationship Type="http://schemas.openxmlformats.org/officeDocument/2006/relationships/hyperlink" Target="https://untappd.com/b/selfmade-brewery-deathspeaker/6335213" TargetMode="External" Id="rId284" /><Relationship Type="http://schemas.openxmlformats.org/officeDocument/2006/relationships/hyperlink" Target="https://untappd.com/b/selfmade-brewery-druids-elixir/6430975" TargetMode="External" Id="rId285" /><Relationship Type="http://schemas.openxmlformats.org/officeDocument/2006/relationships/hyperlink" Target="https://untappd.com/b/selfmade-brewery-ethereal-mist/6397588" TargetMode="External" Id="rId286" /><Relationship Type="http://schemas.openxmlformats.org/officeDocument/2006/relationships/hyperlink" Target="https://untappd.com/b/selfmade-brewery-evolve-morph-7/6343554" TargetMode="External" Id="rId287" /><Relationship Type="http://schemas.openxmlformats.org/officeDocument/2006/relationships/hyperlink" Target="https://untappd.com/b/selfmade-brewery-fire-hazard/4473293" TargetMode="External" Id="rId288" /><Relationship Type="http://schemas.openxmlformats.org/officeDocument/2006/relationships/hyperlink" Target="https://untappd.com/b/selfmade-brewery-fruitality/2688207" TargetMode="External" Id="rId289" /><Relationship Type="http://schemas.openxmlformats.org/officeDocument/2006/relationships/hyperlink" Target="https://untappd.com/b/selfmade-brewery-harvest-lord/6425172" TargetMode="External" Id="rId290" /><Relationship Type="http://schemas.openxmlformats.org/officeDocument/2006/relationships/hyperlink" Target="https://untappd.com/b/selfmade-brewery-invaders-strike-back/6356354" TargetMode="External" Id="rId291" /><Relationship Type="http://schemas.openxmlformats.org/officeDocument/2006/relationships/hyperlink" Target="https://untappd.com/b/selfmade-brewery-juicy-rebels/6357239" TargetMode="External" Id="rId292" /><Relationship Type="http://schemas.openxmlformats.org/officeDocument/2006/relationships/hyperlink" Target="https://untappd.com/b/selfmade-brewery-mako-apa/2754015" TargetMode="External" Id="rId293" /><Relationship Type="http://schemas.openxmlformats.org/officeDocument/2006/relationships/hyperlink" Target="https://untappd.com/b/selfmade-brewery-megafauna/6421588" TargetMode="External" Id="rId294" /><Relationship Type="http://schemas.openxmlformats.org/officeDocument/2006/relationships/hyperlink" Target="https://untappd.com/b/selfmade-brewery-meltdown-sunset/6430205" TargetMode="External" Id="rId295" /><Relationship Type="http://schemas.openxmlformats.org/officeDocument/2006/relationships/hyperlink" Target="https://untappd.com/b/selfmade-brewery-pepper-keeper/6335212" TargetMode="External" Id="rId296" /><Relationship Type="http://schemas.openxmlformats.org/officeDocument/2006/relationships/hyperlink" Target="https://untappd.com/b/selfmade-brewery-railgun/6415789" TargetMode="External" Id="rId297" /><Relationship Type="http://schemas.openxmlformats.org/officeDocument/2006/relationships/hyperlink" Target="https://untappd.com/b/selfmade-brewery-rocket-jump/2396150" TargetMode="External" Id="rId298" /><Relationship Type="http://schemas.openxmlformats.org/officeDocument/2006/relationships/hyperlink" Target="https://untappd.com/b/selfmade-brewery-shroomdalf/5394058" TargetMode="External" Id="rId299" /><Relationship Type="http://schemas.openxmlformats.org/officeDocument/2006/relationships/hyperlink" Target="https://untappd.com/b/selfmade-brewery-shroomie/6446844" TargetMode="External" Id="rId300" /><Relationship Type="http://schemas.openxmlformats.org/officeDocument/2006/relationships/hyperlink" Target="https://untappd.com/b/selfmade-brewery-space-moth/4693595" TargetMode="External" Id="rId301" /><Relationship Type="http://schemas.openxmlformats.org/officeDocument/2006/relationships/hyperlink" Target="https://untappd.com/b/selfmade-brewery-tomato-method/3703753" TargetMode="External" Id="rId302" /><Relationship Type="http://schemas.openxmlformats.org/officeDocument/2006/relationships/hyperlink" Target="https://untappd.com/b/selfmade-brewery-tomato-method-kimchi/6413255" TargetMode="External" Id="rId303" /><Relationship Type="http://schemas.openxmlformats.org/officeDocument/2006/relationships/hyperlink" Target="https://untappd.com/b/selfmade-brewery-tropical-slasher/3830830" TargetMode="External" Id="rId304" /><Relationship Type="http://schemas.openxmlformats.org/officeDocument/2006/relationships/hyperlink" Target="https://untappd.com/b/selfmade-brewery-void-garden/4203680/photos" TargetMode="External" Id="rId305" /><Relationship Type="http://schemas.openxmlformats.org/officeDocument/2006/relationships/hyperlink" Target="https://untappd.com/b/selfmade-brewery-warlock-ritual/3691070" TargetMode="External" Id="rId306" /><Relationship Type="http://schemas.openxmlformats.org/officeDocument/2006/relationships/hyperlink" Target="https://untappd.com/b/snowcap-brewing-kannistarha/6389423" TargetMode="External" Id="rId307" /><Relationship Type="http://schemas.openxmlformats.org/officeDocument/2006/relationships/hyperlink" Target="https://untappd.com/b/snowcap-brewing-mecca/6238198" TargetMode="External" Id="rId308" /><Relationship Type="http://schemas.openxmlformats.org/officeDocument/2006/relationships/hyperlink" Target="https://untappd.com/b/snowcap-brewing-muapolku/6446812" TargetMode="External" Id="rId309" /><Relationship Type="http://schemas.openxmlformats.org/officeDocument/2006/relationships/hyperlink" Target="https://untappd.com/b/snowcap-brewing-mustat-kivet/6324404" TargetMode="External" Id="rId310" /><Relationship Type="http://schemas.openxmlformats.org/officeDocument/2006/relationships/hyperlink" Target="https://untappd.com/b/snowcap-brewing-petroskoi/5389974" TargetMode="External" Id="rId311" /><Relationship Type="http://schemas.openxmlformats.org/officeDocument/2006/relationships/hyperlink" Target="https://untappd.com/b/stamm-brewing-4-in-1-super-sour/3640169" TargetMode="External" Id="rId312" /><Relationship Type="http://schemas.openxmlformats.org/officeDocument/2006/relationships/hyperlink" Target="https://untappd.com/b/stamm-brewing-alpha-hops-citra/6324806" TargetMode="External" Id="rId313" /><Relationship Type="http://schemas.openxmlformats.org/officeDocument/2006/relationships/hyperlink" Target="https://untappd.com/b/stamm-brewing-alphorn/6273032" TargetMode="External" Id="rId314" /><Relationship Type="http://schemas.openxmlformats.org/officeDocument/2006/relationships/hyperlink" Target="https://untappd.com/b/stamm-brewing-american-pale-ale/427778" TargetMode="External" Id="rId315" /><Relationship Type="http://schemas.openxmlformats.org/officeDocument/2006/relationships/hyperlink" Target="https://untappd.com/b/stamm-brewing-cherrytonin/4989056" TargetMode="External" Id="rId316" /><Relationship Type="http://schemas.openxmlformats.org/officeDocument/2006/relationships/hyperlink" Target="https://untappd.com/b/stamm-brewing-emerald-head/6446090" TargetMode="External" Id="rId317" /><Relationship Type="http://schemas.openxmlformats.org/officeDocument/2006/relationships/hyperlink" Target="https://untappd.com/b/stamm-brewing-goko/6389595" TargetMode="External" Id="rId318" /><Relationship Type="http://schemas.openxmlformats.org/officeDocument/2006/relationships/hyperlink" Target="https://untappd.com/b/stamm-brewing-hop-gun-citra-and-mosaic/1048765" TargetMode="External" Id="rId319" /><Relationship Type="http://schemas.openxmlformats.org/officeDocument/2006/relationships/hyperlink" Target="https://untappd.com/b/stamm-brewing-hop-gun-battle-royale/5412434" TargetMode="External" Id="rId320" /><Relationship Type="http://schemas.openxmlformats.org/officeDocument/2006/relationships/hyperlink" Target="https://untappd.com/b/stamm-brewing-kells/6219157" TargetMode="External" Id="rId321" /><Relationship Type="http://schemas.openxmlformats.org/officeDocument/2006/relationships/hyperlink" Target="https://untappd.com/b/stamm-brewing-limit-break/3425915" TargetMode="External" Id="rId322" /><Relationship Type="http://schemas.openxmlformats.org/officeDocument/2006/relationships/hyperlink" Target="https://untappd.com/b/stamm-brewing-lone-sword/6455611" TargetMode="External" Id="rId323" /><Relationship Type="http://schemas.openxmlformats.org/officeDocument/2006/relationships/hyperlink" Target="https://untappd.com/b/stamm-brewing-nekoyama/6314836" TargetMode="External" Id="rId324" /><Relationship Type="http://schemas.openxmlformats.org/officeDocument/2006/relationships/hyperlink" Target="https://untappd.com/b/stamm-brewing-skybloom/6190179" TargetMode="External" Id="rId325" /><Relationship Type="http://schemas.openxmlformats.org/officeDocument/2006/relationships/hyperlink" Target="https://untappd.com/b/stamm-brewing-off-the-pond/6430372" TargetMode="External" Id="rId326" /><Relationship Type="http://schemas.openxmlformats.org/officeDocument/2006/relationships/hyperlink" Target="https://untappd.com/b/stamm-brewing-rauchzart/6449799" TargetMode="External" Id="rId327" /><Relationship Type="http://schemas.openxmlformats.org/officeDocument/2006/relationships/hyperlink" Target="https://untappd.com/b/stamm-brewing-solunate/6187766" TargetMode="External" Id="rId328" /><Relationship Type="http://schemas.openxmlformats.org/officeDocument/2006/relationships/hyperlink" Target="https://untappd.com/b/stamm-brewing-sommer/6333984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switch-brewing-academic-pizzicato/6253946" TargetMode="External" Id="rId365" /><Relationship Type="http://schemas.openxmlformats.org/officeDocument/2006/relationships/hyperlink" Target="https://untappd.com/b/switch-brewing-the-end-of-the-land/6212550" TargetMode="External" Id="rId366" /><Relationship Type="http://schemas.openxmlformats.org/officeDocument/2006/relationships/hyperlink" Target="https://untappd.com/b/time-bomb-brewery-kraftpit/6284086" TargetMode="External" Id="rId367" /><Relationship Type="http://schemas.openxmlformats.org/officeDocument/2006/relationships/hyperlink" Target="https://untappd.com/b/time-bomb-brewery-parsek/6211064" TargetMode="External" Id="rId368" /><Relationship Type="http://schemas.openxmlformats.org/officeDocument/2006/relationships/hyperlink" Target="https://untappd.com/b/time-bomb-brewery-headshrinker/6141563" TargetMode="External" Id="rId369" /><Relationship Type="http://schemas.openxmlformats.org/officeDocument/2006/relationships/hyperlink" Target="https://untappd.com/b/toksovo-cidrerie-toksovskaya-sidreriya-lyubov-i-reven/6236284" TargetMode="External" Id="rId370" /><Relationship Type="http://schemas.openxmlformats.org/officeDocument/2006/relationships/hyperlink" Target="https://untappd.com/b/toksovo-cidrerie-toksovskaya-sidreriya-tishina-bag-in-box-vintage-2021/5467519" TargetMode="External" Id="rId371" /><Relationship Type="http://schemas.openxmlformats.org/officeDocument/2006/relationships/hyperlink" Target="https://untappd.com/b/toksovo-cidrerie-toksovskaya-sidreriya-heart-of-forest-ex-forest-point/6029509" TargetMode="External" Id="rId372" /><Relationship Type="http://schemas.openxmlformats.org/officeDocument/2006/relationships/hyperlink" Target="https://untappd.com/b/toksovo-cidrerie-toksovskaya-sidreriya-heart-of-gose-ex-gose-point/6029497" TargetMode="External" Id="rId373" /><Relationship Type="http://schemas.openxmlformats.org/officeDocument/2006/relationships/hyperlink" Target="https://untappd.com/b/toksovo-cidrerie-toksovskaya-sidreriya-heart-of-smoke-ex-smoked-point/6029486" TargetMode="External" Id="rId374" /><Relationship Type="http://schemas.openxmlformats.org/officeDocument/2006/relationships/hyperlink" Target="https://untappd.com/b/toksovo-cidrerie-toksovskaya-sidreriya-pet-nat-2022-batch-22-with-cryo-concentrated-apple-juice/6246794" TargetMode="External" Id="rId375" /><Relationship Type="http://schemas.openxmlformats.org/officeDocument/2006/relationships/hyperlink" Target="https://untappd.com/b/trywild-wild-cider-2019/4167781" TargetMode="External" Id="rId376" /><Relationship Type="http://schemas.openxmlformats.org/officeDocument/2006/relationships/hyperlink" Target="https://untappd.com/b/zagovor-brewery-citra-citra/4960503" TargetMode="External" Id="rId377" /><Relationship Type="http://schemas.openxmlformats.org/officeDocument/2006/relationships/hyperlink" Target="https://untappd.com/b/zagovor-brewery-blast-beat-ddh-lupulin-powder/2621568" TargetMode="External" Id="rId378" /><Relationship Type="http://schemas.openxmlformats.org/officeDocument/2006/relationships/hyperlink" Target="https://untappd.com/b/zagovor-brewery-equilibrium-ekuanot-mosaic/2492814" TargetMode="External" Id="rId379" /><Relationship Type="http://schemas.openxmlformats.org/officeDocument/2006/relationships/hyperlink" Target="https://untappd.com/b/zagovor-brewery-hot-wax/3026826" TargetMode="External" Id="rId380" /><Relationship Type="http://schemas.openxmlformats.org/officeDocument/2006/relationships/hyperlink" Target="https://untappd.com/b/zagovor-brewery-lager-lads-club/6425405" TargetMode="External" Id="rId381" /><Relationship Type="http://schemas.openxmlformats.org/officeDocument/2006/relationships/hyperlink" Target="https://untappd.com/b/zagovor-brewery-mezzonint/6203626" TargetMode="External" Id="rId382" /><Relationship Type="http://schemas.openxmlformats.org/officeDocument/2006/relationships/hyperlink" Target="https://untappd.com/b/zagovor-brewery-multi-pass-mead/6218122" TargetMode="External" Id="rId383" /><Relationship Type="http://schemas.openxmlformats.org/officeDocument/2006/relationships/hyperlink" Target="https://untappd.com/b/zagovor-brewery-planespotting-spot/6151172" TargetMode="External" Id="rId384" /><Relationship Type="http://schemas.openxmlformats.org/officeDocument/2006/relationships/hyperlink" Target="https://untappd.com/b/zagovor-brewery-recovery-pils/5955289" TargetMode="External" Id="rId385" /><Relationship Type="http://schemas.openxmlformats.org/officeDocument/2006/relationships/hyperlink" Target="https://untappd.com/b/zagovor-brewery-replica-talus/4253536" TargetMode="External" Id="rId386" /><Relationship Type="http://schemas.openxmlformats.org/officeDocument/2006/relationships/hyperlink" Target="https://untappd.com/b/zagovor-brewery-slow-and-trve-ddh-lupulin-powder/3007609" TargetMode="External" Id="rId387" /><Relationship Type="http://schemas.openxmlformats.org/officeDocument/2006/relationships/hyperlink" Target="https://untappd.com/b/zagovor-brewery-spirals/5927150" TargetMode="External" Id="rId388" /><Relationship Type="http://schemas.openxmlformats.org/officeDocument/2006/relationships/hyperlink" Target="https://untappd.com/b/zagovor-brewery-stoner/873889" TargetMode="External" Id="rId389" /><Relationship Type="http://schemas.openxmlformats.org/officeDocument/2006/relationships/hyperlink" Target="https://untappd.com/b/zagovor-brewery-street-justice-citra/2449774" TargetMode="External" Id="rId390" /><Relationship Type="http://schemas.openxmlformats.org/officeDocument/2006/relationships/hyperlink" Target="https://untappd.com/b/zagovor-brewery-street-justice-idaho7/2595623" TargetMode="External" Id="rId391" /><Relationship Type="http://schemas.openxmlformats.org/officeDocument/2006/relationships/hyperlink" Target="https://untappd.com/b/zagovor-brewery-street-justice-mosaic/6400027" TargetMode="External" Id="rId392" /><Relationship Type="http://schemas.openxmlformats.org/officeDocument/2006/relationships/hyperlink" Target="https://untappd.com/b/zagovor-brewery-trafaret/2471178" TargetMode="External" Id="rId393" /><Relationship Type="http://schemas.openxmlformats.org/officeDocument/2006/relationships/hyperlink" Target="https://untappd.com/b/zagovor-brewery-volan/6431165" TargetMode="External" Id="rId394" /><Relationship Type="http://schemas.openxmlformats.org/officeDocument/2006/relationships/drawing" Target="/xl/drawings/drawing1.xml" Id="rId395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selestial-hbc-638-chinook-azacca/6432296" TargetMode="External" Id="rId17" /><Relationship Type="http://schemas.openxmlformats.org/officeDocument/2006/relationships/hyperlink" Target="https://untappd.com/b/pivovarnya-odna-tonna-odna-tonna-brewery-selestial-strata-citra-mosaic/6413968" TargetMode="External" Id="rId18" /><Relationship Type="http://schemas.openxmlformats.org/officeDocument/2006/relationships/hyperlink" Target="https://untappd.com/b/pivovarnya-odna-tonna-odna-tonna-brewery-utro-tumannoe/3218787" TargetMode="External" Id="rId19" /><Relationship Type="http://schemas.openxmlformats.org/officeDocument/2006/relationships/hyperlink" Target="https://untappd.com/b/pivovarnya-odna-tonna-odna-tonna-brewery-helles-helles/462767" TargetMode="External" Id="rId20" /><Relationship Type="http://schemas.openxmlformats.org/officeDocument/2006/relationships/hyperlink" Target="https://untappd.com/b/pivovarnya-odna-tonna-odna-tonna-brewery-choco-mammuth-shokoladnyj-mamont/1591952" TargetMode="External" Id="rId21" /><Relationship Type="http://schemas.openxmlformats.org/officeDocument/2006/relationships/hyperlink" Target="https://untappd.com/b/pivovarnya-odna-tonna-odna-tonna-brewery-mr-golding-mister-golding/443181" TargetMode="External" Id="rId22" /><Relationship Type="http://schemas.openxmlformats.org/officeDocument/2006/relationships/hyperlink" Target="https://untappd.com/b/pivovarnya-odna-tonna-odna-tonna-brewery-mr-o-vsyanka-oatmeal-stout/480345" TargetMode="External" Id="rId23" /><Relationship Type="http://schemas.openxmlformats.org/officeDocument/2006/relationships/hyperlink" Target="https://untappd.com/b/pivovarnya-odna-tonna-odna-tonna-brewery-schukowski-pils-zhukovskij-pils/6349817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tomatnaya-dich-kimchi/5540399" TargetMode="External" Id="rId35" /><Relationship Type="http://schemas.openxmlformats.org/officeDocument/2006/relationships/hyperlink" Target="https://untappd.com/b/big-pot-big-clash/6237046" TargetMode="External" Id="rId36" /><Relationship Type="http://schemas.openxmlformats.org/officeDocument/2006/relationships/hyperlink" Target="https://untappd.com/b/big-village-brewery-abc-kolsch/3669313" TargetMode="External" Id="rId37" /><Relationship Type="http://schemas.openxmlformats.org/officeDocument/2006/relationships/hyperlink" Target="https://untappd.com/b/big-village-brewery-abc-weizen/3126178" TargetMode="External" Id="rId38" /><Relationship Type="http://schemas.openxmlformats.org/officeDocument/2006/relationships/hyperlink" Target="https://untappd.com/b/big-village-brewery-duck-moment/6430157" TargetMode="External" Id="rId39" /><Relationship Type="http://schemas.openxmlformats.org/officeDocument/2006/relationships/hyperlink" Target="https://untappd.com/b/big-village-brewery-fruitride/6430163" TargetMode="External" Id="rId40" /><Relationship Type="http://schemas.openxmlformats.org/officeDocument/2006/relationships/hyperlink" Target="https://untappd.com/b/big-village-brewery-heartless-shadow/6389385" TargetMode="External" Id="rId41" /><Relationship Type="http://schemas.openxmlformats.org/officeDocument/2006/relationships/hyperlink" Target="https://untappd.com/b/big-village-brewery-imaginarium/2588758" TargetMode="External" Id="rId42" /><Relationship Type="http://schemas.openxmlformats.org/officeDocument/2006/relationships/hyperlink" Target="https://untappd.com/b/big-village-brewery-rearview/6414762" TargetMode="External" Id="rId43" /><Relationship Type="http://schemas.openxmlformats.org/officeDocument/2006/relationships/hyperlink" Target="https://untappd.com/b/big-village-brewery-seven-shimmers/6446218" TargetMode="External" Id="rId44" /><Relationship Type="http://schemas.openxmlformats.org/officeDocument/2006/relationships/hyperlink" Target="https://untappd.com/b/big-village-brewery-village-blanche/4829131" TargetMode="External" Id="rId45" /><Relationship Type="http://schemas.openxmlformats.org/officeDocument/2006/relationships/hyperlink" Target="https://untappd.com/b/big-village-brewery-village-stout/6430158" TargetMode="External" Id="rId46" /><Relationship Type="http://schemas.openxmlformats.org/officeDocument/2006/relationships/hyperlink" Target="https://untappd.com/b/big-village-brewery-yellow-cream/3776732" TargetMode="External" Id="rId47" /><Relationship Type="http://schemas.openxmlformats.org/officeDocument/2006/relationships/hyperlink" Target="https://untappd.com/b/bonnie-ship-queen-grace/4724161" TargetMode="External" Id="rId48" /><Relationship Type="http://schemas.openxmlformats.org/officeDocument/2006/relationships/hyperlink" Target="https://untappd.com/b/bonnie-ship-radetzky-march/6308840" TargetMode="External" Id="rId49" /><Relationship Type="http://schemas.openxmlformats.org/officeDocument/2006/relationships/hyperlink" Target="https://untappd.com/b/bonnie-ship-st-andrews/4962480" TargetMode="External" Id="rId50" /><Relationship Type="http://schemas.openxmlformats.org/officeDocument/2006/relationships/hyperlink" Target="https://untappd.com/b/bonnie-ship-the-diamond/4673350" TargetMode="External" Id="rId51" /><Relationship Type="http://schemas.openxmlformats.org/officeDocument/2006/relationships/hyperlink" Target="https://untappd.com/b/boxing-wizard-brewery-braw-chuchter/5229408" TargetMode="External" Id="rId52" /><Relationship Type="http://schemas.openxmlformats.org/officeDocument/2006/relationships/hyperlink" Target="https://untappd.com/b/boxing-wizard-brewery-irish-wolf/5168629" TargetMode="External" Id="rId53" /><Relationship Type="http://schemas.openxmlformats.org/officeDocument/2006/relationships/hyperlink" Target="https://untappd.com/b/boxing-wizard-brewery-sound-bevvy/5579070" TargetMode="External" Id="rId54" /><Relationship Type="http://schemas.openxmlformats.org/officeDocument/2006/relationships/hyperlink" Target="https://untappd.com/b/dieta-dieta-v-sobstvennom-soku-vishnya/5423610" TargetMode="External" Id="rId55" /><Relationship Type="http://schemas.openxmlformats.org/officeDocument/2006/relationships/hyperlink" Target="https://untappd.com/b/dieta-dieta-sinor-pomidor-i-drug-ego-timyan/5828388" TargetMode="External" Id="rId56" /><Relationship Type="http://schemas.openxmlformats.org/officeDocument/2006/relationships/hyperlink" Target="https://untappd.com/b/horror-brewing-golova/6365743" TargetMode="External" Id="rId57" /><Relationship Type="http://schemas.openxmlformats.org/officeDocument/2006/relationships/hyperlink" Target="https://untappd.com/b/horror-brewing-a-night-in-the-lonesome-october/6431121" TargetMode="External" Id="rId58" /><Relationship Type="http://schemas.openxmlformats.org/officeDocument/2006/relationships/hyperlink" Target="https://untappd.com/b/horror-brewing-caress-and-scratch/6172560" TargetMode="External" Id="rId59" /><Relationship Type="http://schemas.openxmlformats.org/officeDocument/2006/relationships/hyperlink" Target="https://untappd.com/b/horror-brewing-epidemic/6202699" TargetMode="External" Id="rId60" /><Relationship Type="http://schemas.openxmlformats.org/officeDocument/2006/relationships/hyperlink" Target="https://untappd.com/b/horror-brewing-festival-destroyer/6365736" TargetMode="External" Id="rId61" /><Relationship Type="http://schemas.openxmlformats.org/officeDocument/2006/relationships/hyperlink" Target="https://untappd.com/b/horror-brewing-i-was-getting-drunk-in-a-flower-shop-10-years-ago/6195601" TargetMode="External" Id="rId62" /><Relationship Type="http://schemas.openxmlformats.org/officeDocument/2006/relationships/hyperlink" Target="https://untappd.com/b/horror-brewing-midday-beast/6205422" TargetMode="External" Id="rId63" /><Relationship Type="http://schemas.openxmlformats.org/officeDocument/2006/relationships/hyperlink" Target="https://untappd.com/b/horror-brewing-midnight-beast/6376072" TargetMode="External" Id="rId64" /><Relationship Type="http://schemas.openxmlformats.org/officeDocument/2006/relationships/hyperlink" Target="https://untappd.com/b/horror-brewing-nonstop-feeling/6266469" TargetMode="External" Id="rId65" /><Relationship Type="http://schemas.openxmlformats.org/officeDocument/2006/relationships/hyperlink" Target="https://untappd.com/b/horror-brewing-same-shit-different-day-v-2/6314916" TargetMode="External" Id="rId66" /><Relationship Type="http://schemas.openxmlformats.org/officeDocument/2006/relationships/hyperlink" Target="https://untappd.com/b/khoffner-brewery-la-lucha-libre/5256631" TargetMode="External" Id="rId67" /><Relationship Type="http://schemas.openxmlformats.org/officeDocument/2006/relationships/hyperlink" Target="https://untappd.com/b/mantra-hellbringer/6421596" TargetMode="External" Id="rId68" /><Relationship Type="http://schemas.openxmlformats.org/officeDocument/2006/relationships/hyperlink" Target="https://untappd.com/b/on-the-bones-contract-brewery-laska-nerpy/1860632" TargetMode="External" Id="rId69" /><Relationship Type="http://schemas.openxmlformats.org/officeDocument/2006/relationships/hyperlink" Target="https://untappd.com/b/on-the-bones-contract-brewery-prost/6316460" TargetMode="External" Id="rId70" /><Relationship Type="http://schemas.openxmlformats.org/officeDocument/2006/relationships/hyperlink" Target="https://untappd.com/b/on-the-bones-contract-brewery-toksovskij-tramplin/1405111" TargetMode="External" Id="rId71" /><Relationship Type="http://schemas.openxmlformats.org/officeDocument/2006/relationships/hyperlink" Target="https://untappd.com/b/ostrovica-b-day-lager/1591905" TargetMode="External" Id="rId72" /><Relationship Type="http://schemas.openxmlformats.org/officeDocument/2006/relationships/hyperlink" Target="https://untappd.com/b/ostrovica-ipa/1304151" TargetMode="External" Id="rId73" /><Relationship Type="http://schemas.openxmlformats.org/officeDocument/2006/relationships/hyperlink" Target="https://untappd.com/b/ostrovica-helles/5275645" TargetMode="External" Id="rId74" /><Relationship Type="http://schemas.openxmlformats.org/officeDocument/2006/relationships/hyperlink" Target="https://untappd.com/b/ostrovica-holy-dipa/1962051" TargetMode="External" Id="rId75" /><Relationship Type="http://schemas.openxmlformats.org/officeDocument/2006/relationships/hyperlink" Target="https://untappd.com/b/ostrovica-juicy-ipa/4837657" TargetMode="External" Id="rId76" /><Relationship Type="http://schemas.openxmlformats.org/officeDocument/2006/relationships/hyperlink" Target="https://untappd.com/b/ostrovica-pils/1872862" TargetMode="External" Id="rId77" /><Relationship Type="http://schemas.openxmlformats.org/officeDocument/2006/relationships/hyperlink" Target="https://untappd.com/b/red-button-brewery-berry-sour-kitchen-black-currant-x-mint/5935427" TargetMode="External" Id="rId78" /><Relationship Type="http://schemas.openxmlformats.org/officeDocument/2006/relationships/hyperlink" Target="https://untappd.com/b/red-button-brewery-tropic-sour-kitchen/5716053" TargetMode="External" Id="rId79" /><Relationship Type="http://schemas.openxmlformats.org/officeDocument/2006/relationships/hyperlink" Target="https://untappd.com/b/red-rocket-brewery-dipa/6158498" TargetMode="External" Id="rId80" /><Relationship Type="http://schemas.openxmlformats.org/officeDocument/2006/relationships/hyperlink" Target="https://untappd.com/b/red-rocket-brewery-dry-nitro-stout/4818820" TargetMode="External" Id="rId81" /><Relationship Type="http://schemas.openxmlformats.org/officeDocument/2006/relationships/hyperlink" Target="https://untappd.com/b/red-rocket-brewery-helles/4642416" TargetMode="External" Id="rId82" /><Relationship Type="http://schemas.openxmlformats.org/officeDocument/2006/relationships/hyperlink" Target="https://untappd.com/b/red-rocket-brewery-hoppy-lager/6254504" TargetMode="External" Id="rId83" /><Relationship Type="http://schemas.openxmlformats.org/officeDocument/2006/relationships/hyperlink" Target="https://untappd.com/b/red-rocket-brewery-dry-stout/6046324" TargetMode="External" Id="rId84" /><Relationship Type="http://schemas.openxmlformats.org/officeDocument/2006/relationships/hyperlink" Target="https://untappd.com/b/red-rocket-brewery-transistor/6440850" TargetMode="External" Id="rId85" /><Relationship Type="http://schemas.openxmlformats.org/officeDocument/2006/relationships/hyperlink" Target="https://untappd.com/b/selfmade-brewery-arcane-gleam/6446131" TargetMode="External" Id="rId86" /><Relationship Type="http://schemas.openxmlformats.org/officeDocument/2006/relationships/hyperlink" Target="https://untappd.com/b/selfmade-brewery-milk-star/2345713" TargetMode="External" Id="rId87" /><Relationship Type="http://schemas.openxmlformats.org/officeDocument/2006/relationships/hyperlink" Target="https://untappd.com/b/selfmade-brewery-rocket-jump/2396150" TargetMode="External" Id="rId88" /><Relationship Type="http://schemas.openxmlformats.org/officeDocument/2006/relationships/hyperlink" Target="https://untappd.com/b/selfmade-brewery-selfmade-pilsner/5410045" TargetMode="External" Id="rId89" /><Relationship Type="http://schemas.openxmlformats.org/officeDocument/2006/relationships/hyperlink" Target="https://untappd.com/b/selfmade-brewery-tomato-method/3703753" TargetMode="External" Id="rId90" /><Relationship Type="http://schemas.openxmlformats.org/officeDocument/2006/relationships/hyperlink" Target="https://untappd.com/b/snowcap-brewing-muapolku/6446812" TargetMode="External" Id="rId91" /><Relationship Type="http://schemas.openxmlformats.org/officeDocument/2006/relationships/hyperlink" Target="https://untappd.com/b/stamm-brewing-american-pale-ale/427778" TargetMode="External" Id="rId92" /><Relationship Type="http://schemas.openxmlformats.org/officeDocument/2006/relationships/hyperlink" Target="https://untappd.com/b/stamm-brewing-beeswax/6340295" TargetMode="External" Id="rId93" /><Relationship Type="http://schemas.openxmlformats.org/officeDocument/2006/relationships/hyperlink" Target="https://untappd.com/b/stamm-brewing-ghostly-caravan/4857981" TargetMode="External" Id="rId94" /><Relationship Type="http://schemas.openxmlformats.org/officeDocument/2006/relationships/hyperlink" Target="https://untappd.com/b/stamm-brewing-limit-break/3425915" TargetMode="External" Id="rId95" /><Relationship Type="http://schemas.openxmlformats.org/officeDocument/2006/relationships/hyperlink" Target="https://untappd.com/b/stamm-brewing-lone-sword/6455611" TargetMode="External" Id="rId96" /><Relationship Type="http://schemas.openxmlformats.org/officeDocument/2006/relationships/hyperlink" Target="https://untappd.com/b/stamm-brewing-off-the-pond/6430372" TargetMode="External" Id="rId97" /><Relationship Type="http://schemas.openxmlformats.org/officeDocument/2006/relationships/hyperlink" Target="https://untappd.com/b/stamm-brewing-rauchzart/6449799" TargetMode="External" Id="rId98" /><Relationship Type="http://schemas.openxmlformats.org/officeDocument/2006/relationships/hyperlink" Target="https://untappd.com/b/stamm-brewing-sombra-blanca/6389597" TargetMode="External" Id="rId99" /><Relationship Type="http://schemas.openxmlformats.org/officeDocument/2006/relationships/hyperlink" Target="https://untappd.com/b/stamm-brewing-strassenbahn/4597639" TargetMode="External" Id="rId100" /><Relationship Type="http://schemas.openxmlformats.org/officeDocument/2006/relationships/hyperlink" Target="https://untappd.com/b/stamm-brewing-strassenbahn-dunkelweizen/6246733" TargetMode="External" Id="rId101" /><Relationship Type="http://schemas.openxmlformats.org/officeDocument/2006/relationships/hyperlink" Target="https://untappd.com/b/stamm-brewing-your-freak-lordship/5458594" TargetMode="External" Id="rId102" /><Relationship Type="http://schemas.openxmlformats.org/officeDocument/2006/relationships/hyperlink" Target="https://untappd.com/b/stamm-brewing-your-young-lordship/4174764" TargetMode="External" Id="rId103" /><Relationship Type="http://schemas.openxmlformats.org/officeDocument/2006/relationships/hyperlink" Target="https://untappd.com/b/steppe-and-wind-meadery-step-i-veter-black-currant-mead/2552489" TargetMode="External" Id="rId104" /><Relationship Type="http://schemas.openxmlformats.org/officeDocument/2006/relationships/hyperlink" Target="https://untappd.com/b/steppe-and-wind-meadery-step-i-veter-blueberry-and-vanilla-mead-6/3869661" TargetMode="External" Id="rId105" /><Relationship Type="http://schemas.openxmlformats.org/officeDocument/2006/relationships/hyperlink" Target="https://untappd.com/b/steppe-and-wind-meadery-step-i-veter-traditional-mead/4711460" TargetMode="External" Id="rId106" /><Relationship Type="http://schemas.openxmlformats.org/officeDocument/2006/relationships/hyperlink" Target="https://untappd.com/b/switch-brewing-academic-pizzicato/6253946" TargetMode="External" Id="rId107" /><Relationship Type="http://schemas.openxmlformats.org/officeDocument/2006/relationships/hyperlink" Target="https://untappd.com/b/zagovor-brewery-hot-wax/3026826" TargetMode="External" Id="rId108" /><Relationship Type="http://schemas.openxmlformats.org/officeDocument/2006/relationships/hyperlink" Target="https://untappd.com/b/zagovor-brewery-nitro-scratch/6143076" TargetMode="External" Id="rId109" /><Relationship Type="http://schemas.openxmlformats.org/officeDocument/2006/relationships/hyperlink" Target="https://untappd.com/b/zagovor-brewery-stop-n-go-ddh-lupulin-powder/2502871" TargetMode="External" Id="rId110" /><Relationship Type="http://schemas.openxmlformats.org/officeDocument/2006/relationships/drawing" Target="/xl/drawings/drawing2.xml" Id="rId11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v-ritme-v-ritme-non-alco-grapefruit-ale/5912970" TargetMode="External" Id="rId2" /><Relationship Type="http://schemas.openxmlformats.org/officeDocument/2006/relationships/hyperlink" Target="https://untappd.com/b/v-ritme-v-ritme-non-alco-slassic-gose/5912965" TargetMode="External" Id="rId3" /><Relationship Type="http://schemas.openxmlformats.org/officeDocument/2006/relationships/hyperlink" Target="https://untappd.com/b/v-ritme-v-ritme-non-alco-coffee-stout/6273878" TargetMode="External" Id="rId4" /><Relationship Type="http://schemas.openxmlformats.org/officeDocument/2006/relationships/hyperlink" Target="https://untappd.com/b/v-ritme-v-ritme-non-alco-lager/6273882" TargetMode="External" Id="rId5" /><Relationship Type="http://schemas.openxmlformats.org/officeDocument/2006/relationships/hyperlink" Target="https://untappd.com/b/v-ritme-v-ritme-non-alco-lemon-gose/5912969" TargetMode="External" Id="rId6" /><Relationship Type="http://schemas.openxmlformats.org/officeDocument/2006/relationships/hyperlink" Target="https://untappd.com/b/v-ritme-v-ritme-non-alco-feijoa-sour-ale/5909350" TargetMode="External" Id="rId7" /><Relationship Type="http://schemas.openxmlformats.org/officeDocument/2006/relationships/hyperlink" Target="https://untappd.com/b/v-ritme-v-ritme-non-alco-raspberry-sour-ale/5912972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kolomenskaya-pivovarnya-starovar-non-alco-dark/6299061" TargetMode="External" Id="rId10" /><Relationship Type="http://schemas.openxmlformats.org/officeDocument/2006/relationships/hyperlink" Target="https://untappd.com/b/siberian-meadery-medovarnya-meda-sibiri-non-alcoholic-mead-zhimolost/5936258" TargetMode="External" Id="rId11" /><Relationship Type="http://schemas.openxmlformats.org/officeDocument/2006/relationships/hyperlink" Target="https://untappd.com/b/siberian-meadery-medovarnya-meda-sibiri-non-alcoholic-mead-citrus/5936308" TargetMode="External" Id="rId12" /><Relationship Type="http://schemas.openxmlformats.org/officeDocument/2006/relationships/hyperlink" Target="https://untappd.com/b/siberian-meadery-medovarnya-meda-sibiri-non-alcoholic-mead-cherry/5936310" TargetMode="External" Id="rId13" /><Relationship Type="http://schemas.openxmlformats.org/officeDocument/2006/relationships/hyperlink" Target="https://untappd.com/b/sidrodelnya-leonida-levrana-bezalkogolnyj-2024/6306535" TargetMode="External" Id="rId14" /><Relationship Type="http://schemas.openxmlformats.org/officeDocument/2006/relationships/hyperlink" Target="https://untappd.com/b/bonnie-ship-st-andrews-na/6205399" TargetMode="External" Id="rId15" /><Relationship Type="http://schemas.openxmlformats.org/officeDocument/2006/relationships/hyperlink" Target="https://untappd.com/b/khoffner-brewery-satori/5019712?edit=success" TargetMode="External" Id="rId16" /><Relationship Type="http://schemas.openxmlformats.org/officeDocument/2006/relationships/hyperlink" Target="https://untappd.com/b/ostrovica-easy-hazy/5811135" TargetMode="External" Id="rId17" /><Relationship Type="http://schemas.openxmlformats.org/officeDocument/2006/relationships/hyperlink" Target="https://untappd.com/b/ostrovica-easy-hops/6046780" TargetMode="External" Id="rId18" /><Relationship Type="http://schemas.openxmlformats.org/officeDocument/2006/relationships/hyperlink" Target="https://untappd.com/b/ostrovica-easy-pils/5979061" TargetMode="External" Id="rId19" /><Relationship Type="http://schemas.openxmlformats.org/officeDocument/2006/relationships/hyperlink" Target="https://untappd.com/b/on-the-bones-contract-brewery-sober-mate/5420971" TargetMode="External" Id="rId20" /><Relationship Type="http://schemas.openxmlformats.org/officeDocument/2006/relationships/hyperlink" Target="https://untappd.com/b/rebel-apple-nympho/4439831" TargetMode="External" Id="rId21" /><Relationship Type="http://schemas.openxmlformats.org/officeDocument/2006/relationships/hyperlink" Target="https://untappd.com/b/red-button-brewery-c-u-2nite/4836321" TargetMode="External" Id="rId22" /><Relationship Type="http://schemas.openxmlformats.org/officeDocument/2006/relationships/hyperlink" Target="https://untappd.com/b/red-button-brewery-dancing-with-your-demons/6392333" TargetMode="External" Id="rId23" /><Relationship Type="http://schemas.openxmlformats.org/officeDocument/2006/relationships/hyperlink" Target="https://untappd.com/b/red-button-brewery-larousse-gastronomique-watermelon/6383168" TargetMode="External" Id="rId24" /><Relationship Type="http://schemas.openxmlformats.org/officeDocument/2006/relationships/hyperlink" Target="https://untappd.com/b/red-button-brewery-go-the-n-a/4774354" TargetMode="External" Id="rId25" /><Relationship Type="http://schemas.openxmlformats.org/officeDocument/2006/relationships/hyperlink" Target="https://untappd.com/b/red-button-brewery-go-the-n-a-kalamansi-batch/6306188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u-r-awsm/4472279" TargetMode="External" Id="rId28" /><Relationship Type="http://schemas.openxmlformats.org/officeDocument/2006/relationships/hyperlink" Target="https://untappd.com/b/red-button-brewery-xoxo/5818807" TargetMode="External" Id="rId29" /><Relationship Type="http://schemas.openxmlformats.org/officeDocument/2006/relationships/hyperlink" Target="https://untappd.com/b/zagovor-brewery-embrace/5988713" TargetMode="External" Id="rId30" /><Relationship Type="http://schemas.openxmlformats.org/officeDocument/2006/relationships/drawing" Target="/xl/drawings/drawing3.xml" Id="rId3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K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201" min="1" max="1"/>
    <col width="43.75" customWidth="1" style="201" min="2" max="2"/>
    <col width="16.75" customWidth="1" style="201" min="3" max="3"/>
    <col width="15.88" customWidth="1" style="201" min="4" max="4"/>
    <col width="65.38" customWidth="1" style="201" min="5" max="5"/>
    <col width="14.63" customWidth="1" style="201" min="6" max="6"/>
    <col width="10.25" customWidth="1" style="201" min="7" max="7"/>
    <col width="12.25" customWidth="1" style="201" min="9" max="11"/>
  </cols>
  <sheetData>
    <row r="1" ht="103.5" customHeight="1" s="201">
      <c r="A1" s="1" t="inlineStr">
        <is>
          <t>Прайс обновлён 28.10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sales@mrvg.ru</t>
        </is>
      </c>
      <c r="J1" s="79" t="n"/>
      <c r="K1" s="79" t="n"/>
    </row>
    <row r="2">
      <c r="A2" s="5" t="inlineStr">
        <is>
          <t>Наименование пивоварни</t>
        </is>
      </c>
      <c r="B2" s="108" t="inlineStr">
        <is>
          <t>Наименование</t>
        </is>
      </c>
      <c r="C2" s="8" t="inlineStr">
        <is>
          <t>Стиль</t>
        </is>
      </c>
      <c r="D2" s="8" t="inlineStr">
        <is>
          <t>ABV / OG / IBU</t>
        </is>
      </c>
      <c r="E2" s="10" t="inlineStr">
        <is>
          <t>Описание</t>
        </is>
      </c>
      <c r="F2" s="10" t="inlineStr">
        <is>
          <t>Тип фасовки / кол-во в уп</t>
        </is>
      </c>
      <c r="G2" s="10" t="inlineStr">
        <is>
          <t xml:space="preserve">Срок годности </t>
        </is>
      </c>
      <c r="H2" s="108" t="inlineStr">
        <is>
          <t>Цена</t>
        </is>
      </c>
      <c r="I2" s="108" t="inlineStr">
        <is>
          <t>Наличие</t>
        </is>
      </c>
      <c r="J2" s="108" t="inlineStr">
        <is>
          <t>Заказ</t>
        </is>
      </c>
      <c r="K2" s="108" t="inlineStr">
        <is>
          <t>Цена</t>
        </is>
      </c>
    </row>
    <row r="3" hidden="1" s="201">
      <c r="A3" s="144" t="inlineStr">
        <is>
          <t>Коломенская Пивоварня г. Коломна</t>
        </is>
      </c>
      <c r="B3" s="202" t="n"/>
      <c r="C3" s="202" t="n"/>
      <c r="D3" s="202" t="n"/>
      <c r="E3" s="202" t="n"/>
      <c r="F3" s="202" t="n"/>
      <c r="G3" s="202" t="n"/>
      <c r="H3" s="202" t="n"/>
      <c r="I3" s="203" t="n"/>
      <c r="J3" s="144" t="n">
        <v>1</v>
      </c>
      <c r="K3" s="144" t="n"/>
    </row>
    <row r="4" hidden="1" s="201">
      <c r="A4" s="196" t="inlineStr">
        <is>
          <t>Коломенская Пивоварня</t>
        </is>
      </c>
      <c r="B4" s="17" t="inlineStr">
        <is>
          <t>Starovar ЖИГУЛИ ОSOBOE</t>
        </is>
      </c>
      <c r="C4" s="18" t="inlineStr">
        <is>
          <t>Lager</t>
        </is>
      </c>
      <c r="D4" s="116" t="inlineStr">
        <is>
          <t>4 / 11 / 20</t>
        </is>
      </c>
      <c r="E4" s="82" t="inlineStr">
        <is>
          <t>Классика, в лучших ее проявлениях!</t>
        </is>
      </c>
      <c r="F4" s="159" t="inlineStr">
        <is>
          <t>ж/б 0.45 / 20</t>
        </is>
      </c>
      <c r="G4" s="86" t="inlineStr">
        <is>
          <t>6 мес.</t>
        </is>
      </c>
      <c r="H4" s="57" t="n">
        <v>99</v>
      </c>
      <c r="I4" s="127" t="inlineStr">
        <is>
          <t>новинка</t>
        </is>
      </c>
      <c r="J4" s="127" t="n">
        <v>1</v>
      </c>
      <c r="K4" s="127">
        <f>PRODUCT(H4,J4)</f>
        <v/>
      </c>
    </row>
    <row r="5">
      <c r="A5" s="196" t="inlineStr">
        <is>
          <t>Коломенская Пивоварня</t>
        </is>
      </c>
      <c r="B5" s="26" t="inlineStr">
        <is>
          <t>Starovar APA</t>
        </is>
      </c>
      <c r="C5" s="18" t="inlineStr">
        <is>
          <t>APA</t>
        </is>
      </c>
      <c r="D5" s="116" t="inlineStr">
        <is>
          <t>5,1 / 12 / 27</t>
        </is>
      </c>
      <c r="E5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59" t="inlineStr">
        <is>
          <t>ж/б 0.45 / 20</t>
        </is>
      </c>
      <c r="G5" s="86" t="inlineStr">
        <is>
          <t>6 мес.</t>
        </is>
      </c>
      <c r="H5" s="57" t="n">
        <v>135</v>
      </c>
      <c r="I5" s="127" t="inlineStr">
        <is>
          <t>новинка</t>
        </is>
      </c>
      <c r="J5" s="127" t="n">
        <v>1</v>
      </c>
      <c r="K5" s="127">
        <f>PRODUCT(H5,J5)</f>
        <v/>
      </c>
    </row>
    <row r="6" hidden="1" s="201">
      <c r="A6" s="196" t="inlineStr">
        <is>
          <t>Коломенская Пивоварня</t>
        </is>
      </c>
      <c r="B6" s="28" t="inlineStr">
        <is>
          <t>Starovar Belgian Ale</t>
        </is>
      </c>
      <c r="C6" s="18" t="inlineStr">
        <is>
          <t>Belgian Blonde</t>
        </is>
      </c>
      <c r="D6" s="116" t="inlineStr">
        <is>
          <t>5,5 / 13 / 20</t>
        </is>
      </c>
      <c r="E6" s="82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59" t="inlineStr">
        <is>
          <t>ж/б 0.45 / 20</t>
        </is>
      </c>
      <c r="G6" s="86" t="inlineStr">
        <is>
          <t>6 мес.</t>
        </is>
      </c>
      <c r="H6" s="57" t="n">
        <v>105</v>
      </c>
      <c r="I6" s="127" t="inlineStr">
        <is>
          <t>новинка</t>
        </is>
      </c>
      <c r="J6" s="127" t="n">
        <v>1</v>
      </c>
      <c r="K6" s="127">
        <f>PRODUCT(H6,J6)</f>
        <v/>
      </c>
    </row>
    <row r="7" hidden="1" s="201">
      <c r="A7" s="196" t="inlineStr">
        <is>
          <t>Коломенская Пивоварня</t>
        </is>
      </c>
      <c r="B7" s="28" t="inlineStr">
        <is>
          <t>Starovar Black Velvet</t>
        </is>
      </c>
      <c r="C7" s="18" t="inlineStr">
        <is>
          <t>Dark Lager</t>
        </is>
      </c>
      <c r="D7" s="116" t="inlineStr">
        <is>
          <t>5,8 / 15 / -</t>
        </is>
      </c>
      <c r="E7" s="82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59" t="inlineStr">
        <is>
          <t>ж/б 0.45 / 20</t>
        </is>
      </c>
      <c r="G7" s="86" t="inlineStr">
        <is>
          <t>6 мес.</t>
        </is>
      </c>
      <c r="H7" s="57" t="n">
        <v>109</v>
      </c>
      <c r="I7" s="127" t="inlineStr">
        <is>
          <t>новинка</t>
        </is>
      </c>
      <c r="J7" s="127" t="n">
        <v>1</v>
      </c>
      <c r="K7" s="127">
        <f>PRODUCT(H7,J7)</f>
        <v/>
      </c>
    </row>
    <row r="8" hidden="1" s="201">
      <c r="A8" s="196" t="inlineStr">
        <is>
          <t>Коломенская Пивоварня</t>
        </is>
      </c>
      <c r="B8" s="28" t="inlineStr">
        <is>
          <t>Starovar English Porter</t>
        </is>
      </c>
      <c r="C8" s="18" t="inlineStr">
        <is>
          <t>Porter</t>
        </is>
      </c>
      <c r="D8" s="116" t="inlineStr">
        <is>
          <t>6,7 / 17 / 20</t>
        </is>
      </c>
      <c r="E8" s="82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59" t="inlineStr">
        <is>
          <t>ж/б 0.45 / 20</t>
        </is>
      </c>
      <c r="G8" s="86" t="inlineStr">
        <is>
          <t>6 мес.</t>
        </is>
      </c>
      <c r="H8" s="57" t="n">
        <v>115</v>
      </c>
      <c r="I8" s="127" t="inlineStr">
        <is>
          <t>новинка</t>
        </is>
      </c>
      <c r="J8" s="127" t="n">
        <v>1</v>
      </c>
      <c r="K8" s="127">
        <f>PRODUCT(H8,J8)</f>
        <v/>
      </c>
    </row>
    <row r="9" hidden="1" s="201">
      <c r="A9" s="196" t="inlineStr">
        <is>
          <t>Коломенская Пивоварня</t>
        </is>
      </c>
      <c r="B9" s="28" t="inlineStr">
        <is>
          <t>Starovar Greenwich</t>
        </is>
      </c>
      <c r="C9" s="18" t="inlineStr">
        <is>
          <t>English Ale</t>
        </is>
      </c>
      <c r="D9" s="116" t="inlineStr">
        <is>
          <t>5,3 / 12 / 20</t>
        </is>
      </c>
      <c r="E9" s="82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59" t="inlineStr">
        <is>
          <t>ж/б 0.45 / 20</t>
        </is>
      </c>
      <c r="G9" s="86" t="inlineStr">
        <is>
          <t>6 мес.</t>
        </is>
      </c>
      <c r="H9" s="57" t="n">
        <v>109</v>
      </c>
      <c r="I9" s="127" t="inlineStr">
        <is>
          <t>новинка</t>
        </is>
      </c>
      <c r="J9" s="127" t="n">
        <v>1</v>
      </c>
      <c r="K9" s="127">
        <f>PRODUCT(H9,J9)</f>
        <v/>
      </c>
    </row>
    <row r="10">
      <c r="A10" s="196" t="inlineStr">
        <is>
          <t>Коломенская Пивоварня</t>
        </is>
      </c>
      <c r="B10" s="26" t="inlineStr">
        <is>
          <t>Starovar IPA</t>
        </is>
      </c>
      <c r="C10" s="18" t="inlineStr">
        <is>
          <t>IPA</t>
        </is>
      </c>
      <c r="D10" s="116" t="inlineStr">
        <is>
          <t>6,5 / 16,5 / 37</t>
        </is>
      </c>
      <c r="E10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59" t="inlineStr">
        <is>
          <t>ж/б 0.45 / 20</t>
        </is>
      </c>
      <c r="G10" s="86" t="inlineStr">
        <is>
          <t>6 мес.</t>
        </is>
      </c>
      <c r="H10" s="92" t="n">
        <v>139</v>
      </c>
      <c r="I10" s="127" t="inlineStr">
        <is>
          <t>новинка</t>
        </is>
      </c>
      <c r="J10" s="127" t="n">
        <v>1</v>
      </c>
      <c r="K10" s="127">
        <f>PRODUCT(H10,J10)</f>
        <v/>
      </c>
    </row>
    <row r="11">
      <c r="A11" s="196" t="inlineStr">
        <is>
          <t>Коломенская Пивоварня</t>
        </is>
      </c>
      <c r="B11" s="26" t="inlineStr">
        <is>
          <t>Starovar Munchen Helles</t>
        </is>
      </c>
      <c r="C11" s="18" t="inlineStr">
        <is>
          <t>Helles</t>
        </is>
      </c>
      <c r="D11" s="116" t="inlineStr">
        <is>
          <t>4,9 / 12 / 15</t>
        </is>
      </c>
      <c r="E11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59" t="inlineStr">
        <is>
          <t>ж/б 0.45 / 20</t>
        </is>
      </c>
      <c r="G11" s="86" t="inlineStr">
        <is>
          <t>6 мес.</t>
        </is>
      </c>
      <c r="H11" s="57" t="n">
        <v>105</v>
      </c>
      <c r="I11" s="127" t="inlineStr">
        <is>
          <t>новинка</t>
        </is>
      </c>
      <c r="J11" s="127" t="n">
        <v>1</v>
      </c>
      <c r="K11" s="127">
        <f>PRODUCT(H11,J11)</f>
        <v/>
      </c>
    </row>
    <row r="12">
      <c r="A12" s="196" t="inlineStr">
        <is>
          <t>Коломенская Пивоварня</t>
        </is>
      </c>
      <c r="B12" s="26" t="inlineStr">
        <is>
          <t>Starovar Prazsky Lezák</t>
        </is>
      </c>
      <c r="C12" s="18" t="inlineStr">
        <is>
          <t>Bohemian Pilsner</t>
        </is>
      </c>
      <c r="D12" s="116" t="inlineStr">
        <is>
          <t>4,6 / 12 / 25</t>
        </is>
      </c>
      <c r="E12" s="98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59" t="inlineStr">
        <is>
          <t>ж/б 0.45 / 20</t>
        </is>
      </c>
      <c r="G12" s="86" t="inlineStr">
        <is>
          <t>6 мес.</t>
        </is>
      </c>
      <c r="H12" s="57" t="n">
        <v>105</v>
      </c>
      <c r="I12" s="127" t="inlineStr">
        <is>
          <t>новинка</t>
        </is>
      </c>
      <c r="J12" s="127" t="n">
        <v>1</v>
      </c>
      <c r="K12" s="127">
        <f>PRODUCT(H12,J12)</f>
        <v/>
      </c>
    </row>
    <row r="13" hidden="1" s="201">
      <c r="A13" s="196" t="inlineStr">
        <is>
          <t>Коломенская Пивоварня</t>
        </is>
      </c>
      <c r="B13" s="28" t="inlineStr">
        <is>
          <t>Starovar Weizen</t>
        </is>
      </c>
      <c r="C13" s="18" t="inlineStr">
        <is>
          <t>Hefeweizen</t>
        </is>
      </c>
      <c r="D13" s="116" t="inlineStr">
        <is>
          <t>4,8 / 12 / -</t>
        </is>
      </c>
      <c r="E13" s="82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59" t="inlineStr">
        <is>
          <t>ж/б 0.45 / 20</t>
        </is>
      </c>
      <c r="G13" s="86" t="inlineStr">
        <is>
          <t>6 мес.</t>
        </is>
      </c>
      <c r="H13" s="57" t="n">
        <v>105</v>
      </c>
      <c r="I13" s="127" t="inlineStr">
        <is>
          <t>новинка</t>
        </is>
      </c>
      <c r="J13" s="127" t="n">
        <v>0</v>
      </c>
      <c r="K13" s="127">
        <f>PRODUCT(H13,J13)</f>
        <v/>
      </c>
    </row>
    <row r="14" hidden="1" s="201">
      <c r="A14" s="144" t="inlineStr">
        <is>
          <t>МедА Сибири г. Томск</t>
        </is>
      </c>
      <c r="B14" s="202" t="n"/>
      <c r="C14" s="202" t="n"/>
      <c r="D14" s="202" t="n"/>
      <c r="E14" s="202" t="n"/>
      <c r="F14" s="202" t="n"/>
      <c r="G14" s="202" t="n"/>
      <c r="H14" s="202" t="n"/>
      <c r="I14" s="203" t="n"/>
      <c r="J14" s="144" t="n">
        <v>1</v>
      </c>
      <c r="K14" s="144" t="n"/>
    </row>
    <row r="15" hidden="1" s="201">
      <c r="A15" s="196" t="inlineStr">
        <is>
          <t>МедА Сибири</t>
        </is>
      </c>
      <c r="B15" s="30" t="inlineStr">
        <is>
          <t>Медовый пломбир с клюквой</t>
        </is>
      </c>
      <c r="C15" s="18" t="inlineStr">
        <is>
          <t>Mead</t>
        </is>
      </c>
      <c r="D15" s="116" t="inlineStr">
        <is>
          <t xml:space="preserve">6 / - / - </t>
        </is>
      </c>
      <c r="E15" s="82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59" t="inlineStr">
        <is>
          <t>ж/б 0.45 / 20</t>
        </is>
      </c>
      <c r="G15" s="86" t="inlineStr">
        <is>
          <t>12 мес.</t>
        </is>
      </c>
      <c r="H15" s="57" t="n">
        <v>279</v>
      </c>
      <c r="I15" s="92" t="inlineStr">
        <is>
          <t>много</t>
        </is>
      </c>
      <c r="J15" s="127" t="n">
        <v>1</v>
      </c>
      <c r="K15" s="127">
        <f>PRODUCT(H15,J15)</f>
        <v/>
      </c>
    </row>
    <row r="16" hidden="1" s="201">
      <c r="A16" s="196" t="inlineStr">
        <is>
          <t>МедА Сибири</t>
        </is>
      </c>
      <c r="B16" s="31" t="inlineStr">
        <is>
          <t>Медовый пломбир с малиной</t>
        </is>
      </c>
      <c r="C16" s="18" t="inlineStr">
        <is>
          <t>Mead</t>
        </is>
      </c>
      <c r="D16" s="116" t="inlineStr">
        <is>
          <t xml:space="preserve">6 / - / - </t>
        </is>
      </c>
      <c r="E16" s="82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59" t="inlineStr">
        <is>
          <t>ж/б 0.45 / 20</t>
        </is>
      </c>
      <c r="G16" s="86" t="inlineStr">
        <is>
          <t>12 мес.</t>
        </is>
      </c>
      <c r="H16" s="57" t="n">
        <v>279</v>
      </c>
      <c r="I16" s="92" t="inlineStr">
        <is>
          <t>много</t>
        </is>
      </c>
      <c r="J16" s="127" t="n">
        <v>1</v>
      </c>
      <c r="K16" s="127">
        <f>PRODUCT(H16,J16)</f>
        <v/>
      </c>
    </row>
    <row r="17" hidden="1" s="201">
      <c r="A17" s="196" t="inlineStr">
        <is>
          <t>МедА Сибири</t>
        </is>
      </c>
      <c r="B17" s="30" t="inlineStr">
        <is>
          <t>Медовый пломбир с черной смородиной и гуанабаной</t>
        </is>
      </c>
      <c r="C17" s="18" t="inlineStr">
        <is>
          <t>Mead</t>
        </is>
      </c>
      <c r="D17" s="116" t="inlineStr">
        <is>
          <t xml:space="preserve">6 / - / - </t>
        </is>
      </c>
      <c r="E17" s="82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59" t="inlineStr">
        <is>
          <t>ж/б 0.45 / 20</t>
        </is>
      </c>
      <c r="G17" s="86" t="inlineStr">
        <is>
          <t>12 мес.</t>
        </is>
      </c>
      <c r="H17" s="57" t="n">
        <v>279</v>
      </c>
      <c r="I17" s="92" t="inlineStr">
        <is>
          <t>много</t>
        </is>
      </c>
      <c r="J17" s="127" t="n">
        <v>1</v>
      </c>
      <c r="K17" s="127">
        <f>PRODUCT(H17,J17)</f>
        <v/>
      </c>
    </row>
    <row r="18" hidden="1" s="201">
      <c r="A18" s="196" t="inlineStr">
        <is>
          <t>МедА Сибири</t>
        </is>
      </c>
      <c r="B18" s="30" t="inlineStr">
        <is>
          <t>Apple,Cherry Punch Mead (Пунш Яблоко-Вишня)</t>
        </is>
      </c>
      <c r="C18" s="18" t="inlineStr">
        <is>
          <t>Melomel</t>
        </is>
      </c>
      <c r="D18" s="116" t="inlineStr">
        <is>
          <t xml:space="preserve">6 / - / - </t>
        </is>
      </c>
      <c r="E18" s="82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59" t="inlineStr">
        <is>
          <t>ж/б 0.45 / 20</t>
        </is>
      </c>
      <c r="G18" s="86" t="inlineStr">
        <is>
          <t>12 мес.</t>
        </is>
      </c>
      <c r="H18" s="57" t="n">
        <v>225</v>
      </c>
      <c r="I18" s="92" t="inlineStr">
        <is>
          <t>много</t>
        </is>
      </c>
      <c r="J18" s="127" t="n">
        <v>1</v>
      </c>
      <c r="K18" s="127">
        <f>PRODUCT(H18,J18)</f>
        <v/>
      </c>
    </row>
    <row r="19" hidden="1" s="201">
      <c r="A19" s="196" t="inlineStr">
        <is>
          <t>МедА Сибири</t>
        </is>
      </c>
      <c r="B19" s="32" t="inlineStr">
        <is>
          <t>Apricot Mead</t>
        </is>
      </c>
      <c r="C19" s="18" t="inlineStr">
        <is>
          <t>Mead</t>
        </is>
      </c>
      <c r="D19" s="116" t="inlineStr">
        <is>
          <t xml:space="preserve">6 / - / - </t>
        </is>
      </c>
      <c r="E19" s="98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59" t="inlineStr">
        <is>
          <t>ж/б 0.45 / 20</t>
        </is>
      </c>
      <c r="G19" s="86" t="inlineStr">
        <is>
          <t>12 мес.</t>
        </is>
      </c>
      <c r="H19" s="57" t="n">
        <v>229</v>
      </c>
      <c r="I19" s="92" t="inlineStr">
        <is>
          <t>много</t>
        </is>
      </c>
      <c r="J19" s="127" t="n">
        <v>1</v>
      </c>
      <c r="K19" s="127">
        <f>PRODUCT(H19,J19)</f>
        <v/>
      </c>
    </row>
    <row r="20" hidden="1" s="201">
      <c r="A20" s="196" t="inlineStr">
        <is>
          <t>МедА Сибири</t>
        </is>
      </c>
      <c r="B20" s="30" t="inlineStr">
        <is>
          <t>Cowberry Bochet</t>
        </is>
      </c>
      <c r="C20" s="18" t="inlineStr">
        <is>
          <t>Bochet</t>
        </is>
      </c>
      <c r="D20" s="116" t="inlineStr">
        <is>
          <t xml:space="preserve">6 / - / - </t>
        </is>
      </c>
      <c r="E20" s="82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59" t="inlineStr">
        <is>
          <t>ж/б 0.45 / 20</t>
        </is>
      </c>
      <c r="G20" s="86" t="inlineStr">
        <is>
          <t>12 мес.</t>
        </is>
      </c>
      <c r="H20" s="57" t="n">
        <v>245</v>
      </c>
      <c r="I20" s="92" t="inlineStr">
        <is>
          <t>много</t>
        </is>
      </c>
      <c r="J20" s="127" t="n">
        <v>1</v>
      </c>
      <c r="K20" s="127">
        <f>PRODUCT(H20,J20)</f>
        <v/>
      </c>
    </row>
    <row r="21" hidden="1" s="201">
      <c r="A21" s="196" t="inlineStr">
        <is>
          <t>МедА Сибири</t>
        </is>
      </c>
      <c r="B21" s="32" t="inlineStr">
        <is>
          <t>Mead Cherry</t>
        </is>
      </c>
      <c r="C21" s="18" t="inlineStr">
        <is>
          <t>Mead</t>
        </is>
      </c>
      <c r="D21" s="116" t="inlineStr">
        <is>
          <t xml:space="preserve">6 / - / - </t>
        </is>
      </c>
      <c r="E21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59" t="inlineStr">
        <is>
          <t>ж/б 0.45 / 20</t>
        </is>
      </c>
      <c r="G21" s="86" t="inlineStr">
        <is>
          <t>12 мес.</t>
        </is>
      </c>
      <c r="H21" s="57" t="n">
        <v>219</v>
      </c>
      <c r="I21" s="92" t="inlineStr">
        <is>
          <t>много</t>
        </is>
      </c>
      <c r="J21" s="127" t="n">
        <v>1</v>
      </c>
      <c r="K21" s="127">
        <f>PRODUCT(H21,J21)</f>
        <v/>
      </c>
    </row>
    <row r="22" hidden="1" s="201">
      <c r="A22" s="196" t="inlineStr">
        <is>
          <t>МедА Сибири</t>
        </is>
      </c>
      <c r="B22" s="32" t="inlineStr">
        <is>
          <t>Mead Citrus</t>
        </is>
      </c>
      <c r="C22" s="18" t="inlineStr">
        <is>
          <t>Mead</t>
        </is>
      </c>
      <c r="D22" s="116" t="inlineStr">
        <is>
          <t xml:space="preserve">6 / - / - </t>
        </is>
      </c>
      <c r="E22" s="98" t="inlineStr">
        <is>
          <t>Сложный купаж из мёда, апельсина, грейпфрута, имбиря и корицы.</t>
        </is>
      </c>
      <c r="F22" s="159" t="inlineStr">
        <is>
          <t>ж/б 0.45 / 20</t>
        </is>
      </c>
      <c r="G22" s="86" t="inlineStr">
        <is>
          <t>12 мес.</t>
        </is>
      </c>
      <c r="H22" s="57" t="n">
        <v>225</v>
      </c>
      <c r="I22" s="92" t="inlineStr">
        <is>
          <t>много</t>
        </is>
      </c>
      <c r="J22" s="127" t="n">
        <v>1</v>
      </c>
      <c r="K22" s="127">
        <f>PRODUCT(H22,J22)</f>
        <v/>
      </c>
    </row>
    <row r="23" hidden="1" s="201">
      <c r="A23" s="196" t="inlineStr">
        <is>
          <t>МедА Сибири</t>
        </is>
      </c>
      <c r="B23" s="32" t="inlineStr">
        <is>
          <t>Mead Cyser</t>
        </is>
      </c>
      <c r="C23" s="18" t="inlineStr">
        <is>
          <t>Mead</t>
        </is>
      </c>
      <c r="D23" s="116" t="inlineStr">
        <is>
          <t xml:space="preserve">6 / - / - </t>
        </is>
      </c>
      <c r="E23" s="98" t="inlineStr">
        <is>
          <t>Зелёное, кислое яблоко, сладкий сибирский мёд и винные дрожжи.</t>
        </is>
      </c>
      <c r="F23" s="159" t="inlineStr">
        <is>
          <t>ж/б 0.45 / 20</t>
        </is>
      </c>
      <c r="G23" s="86" t="inlineStr">
        <is>
          <t>12 мес.</t>
        </is>
      </c>
      <c r="H23" s="92" t="n">
        <v>199</v>
      </c>
      <c r="I23" s="92" t="inlineStr">
        <is>
          <t>много</t>
        </is>
      </c>
      <c r="J23" s="127" t="n">
        <v>1</v>
      </c>
      <c r="K23" s="127">
        <f>PRODUCT(H23,J23)</f>
        <v/>
      </c>
    </row>
    <row r="24" hidden="1" s="201">
      <c r="A24" s="196" t="inlineStr">
        <is>
          <t>МедА Сибири</t>
        </is>
      </c>
      <c r="B24" s="32" t="inlineStr">
        <is>
          <t>Mead Honeysuckle</t>
        </is>
      </c>
      <c r="C24" s="18" t="inlineStr">
        <is>
          <t>Mead</t>
        </is>
      </c>
      <c r="D24" s="116" t="inlineStr">
        <is>
          <t xml:space="preserve">6 / - / - </t>
        </is>
      </c>
      <c r="E24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59" t="inlineStr">
        <is>
          <t>ж/б 0.45 / 20</t>
        </is>
      </c>
      <c r="G24" s="86" t="inlineStr">
        <is>
          <t>12 мес.</t>
        </is>
      </c>
      <c r="H24" s="57" t="n">
        <v>225</v>
      </c>
      <c r="I24" s="92" t="inlineStr">
        <is>
          <t>много</t>
        </is>
      </c>
      <c r="J24" s="127" t="n">
        <v>1</v>
      </c>
      <c r="K24" s="127">
        <f>PRODUCT(H24,J24)</f>
        <v/>
      </c>
    </row>
    <row r="25" hidden="1" s="201">
      <c r="A25" s="196" t="inlineStr">
        <is>
          <t>МедА Сибири</t>
        </is>
      </c>
      <c r="B25" s="32" t="inlineStr">
        <is>
          <t>Mead Mango Сhili</t>
        </is>
      </c>
      <c r="C25" s="18" t="inlineStr">
        <is>
          <t>Mead</t>
        </is>
      </c>
      <c r="D25" s="116" t="inlineStr">
        <is>
          <t xml:space="preserve">6 / - / - </t>
        </is>
      </c>
      <c r="E25" s="98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59" t="inlineStr">
        <is>
          <t>ж/б 0.45 / 20</t>
        </is>
      </c>
      <c r="G25" s="86" t="inlineStr">
        <is>
          <t>12 мес.</t>
        </is>
      </c>
      <c r="H25" s="57" t="n">
        <v>265</v>
      </c>
      <c r="I25" s="92" t="inlineStr">
        <is>
          <t>много</t>
        </is>
      </c>
      <c r="J25" s="127" t="n">
        <v>1</v>
      </c>
      <c r="K25" s="127">
        <f>PRODUCT(H25,J25)</f>
        <v/>
      </c>
    </row>
    <row r="26" hidden="1" s="201">
      <c r="A26" s="196" t="inlineStr">
        <is>
          <t>МедА Сибири</t>
        </is>
      </c>
      <c r="B26" s="32" t="inlineStr">
        <is>
          <t>Mead Sea-Buckthorn</t>
        </is>
      </c>
      <c r="C26" s="18" t="inlineStr">
        <is>
          <t>Mead</t>
        </is>
      </c>
      <c r="D26" s="116" t="inlineStr">
        <is>
          <t xml:space="preserve">6 / - / - </t>
        </is>
      </c>
      <c r="E26" s="98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59" t="inlineStr">
        <is>
          <t>ж/б 0.45 / 20</t>
        </is>
      </c>
      <c r="G26" s="86" t="inlineStr">
        <is>
          <t>12 мес.</t>
        </is>
      </c>
      <c r="H26" s="57" t="n">
        <v>215</v>
      </c>
      <c r="I26" s="92" t="inlineStr">
        <is>
          <t>много</t>
        </is>
      </c>
      <c r="J26" s="127" t="n">
        <v>1</v>
      </c>
      <c r="K26" s="127">
        <f>PRODUCT(H26,J26)</f>
        <v/>
      </c>
    </row>
    <row r="27" hidden="1" s="201">
      <c r="A27" s="196" t="inlineStr">
        <is>
          <t>МедА Сибири</t>
        </is>
      </c>
      <c r="B27" s="32" t="inlineStr">
        <is>
          <t>Mead Traditional</t>
        </is>
      </c>
      <c r="C27" s="18" t="inlineStr">
        <is>
          <t>Mead</t>
        </is>
      </c>
      <c r="D27" s="75" t="inlineStr">
        <is>
          <t>5 / - / -</t>
        </is>
      </c>
      <c r="E27" s="98" t="inlineStr">
        <is>
          <t>Таёжный мёд, вода и винные дрожжи. В меру сладкая классика в лучшем своём проявлении.</t>
        </is>
      </c>
      <c r="F27" s="159" t="inlineStr">
        <is>
          <t>ж/б 0.45 / 20</t>
        </is>
      </c>
      <c r="G27" s="86" t="inlineStr">
        <is>
          <t>12 мес.</t>
        </is>
      </c>
      <c r="H27" s="57" t="n">
        <v>185</v>
      </c>
      <c r="I27" s="92" t="inlineStr">
        <is>
          <t>много</t>
        </is>
      </c>
      <c r="J27" s="127" t="n">
        <v>1</v>
      </c>
      <c r="K27" s="127">
        <f>PRODUCT(H27,J27)</f>
        <v/>
      </c>
    </row>
    <row r="28" hidden="1" s="201">
      <c r="A28" s="196" t="inlineStr">
        <is>
          <t>МедА Сибири</t>
        </is>
      </c>
      <c r="B28" s="32" t="inlineStr">
        <is>
          <t>Pomegranate &amp; Hibiscus Bochet</t>
        </is>
      </c>
      <c r="C28" s="18" t="inlineStr">
        <is>
          <t>Mead</t>
        </is>
      </c>
      <c r="D28" s="116" t="inlineStr">
        <is>
          <t xml:space="preserve">6 / - / - </t>
        </is>
      </c>
      <c r="E28" s="98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59" t="inlineStr">
        <is>
          <t>ж/б 0.45 / 20</t>
        </is>
      </c>
      <c r="G28" s="86" t="inlineStr">
        <is>
          <t>12 мес.</t>
        </is>
      </c>
      <c r="H28" s="57" t="n">
        <v>245</v>
      </c>
      <c r="I28" s="92" t="inlineStr">
        <is>
          <t>много</t>
        </is>
      </c>
      <c r="J28" s="127" t="n">
        <v>1</v>
      </c>
      <c r="K28" s="127">
        <f>PRODUCT(H28,J28)</f>
        <v/>
      </c>
    </row>
    <row r="29" hidden="1" s="201">
      <c r="A29" s="196" t="inlineStr">
        <is>
          <t>МедА Сибири</t>
        </is>
      </c>
      <c r="B29" s="31" t="inlineStr">
        <is>
          <t>Quince &amp; Dogwood Mead (Айва - Кизил)</t>
        </is>
      </c>
      <c r="C29" s="18" t="inlineStr">
        <is>
          <t>Mead</t>
        </is>
      </c>
      <c r="D29" s="116" t="inlineStr">
        <is>
          <t xml:space="preserve">6 / - / - </t>
        </is>
      </c>
      <c r="E29" s="82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59" t="inlineStr">
        <is>
          <t>ж/б 0.45 / 20</t>
        </is>
      </c>
      <c r="G29" s="86" t="inlineStr">
        <is>
          <t>12 мес.</t>
        </is>
      </c>
      <c r="H29" s="57" t="n">
        <v>215</v>
      </c>
      <c r="I29" s="92" t="inlineStr">
        <is>
          <t>много</t>
        </is>
      </c>
      <c r="J29" s="127" t="n">
        <v>1</v>
      </c>
      <c r="K29" s="127">
        <f>PRODUCT(H29,J29)</f>
        <v/>
      </c>
    </row>
    <row r="30" hidden="1" s="201">
      <c r="A30" s="196" t="inlineStr">
        <is>
          <t>МедА Сибири</t>
        </is>
      </c>
      <c r="B30" s="30" t="inlineStr">
        <is>
          <t>Raspberry, Lime, Mint Mead</t>
        </is>
      </c>
      <c r="C30" s="18" t="inlineStr">
        <is>
          <t>Melomel</t>
        </is>
      </c>
      <c r="D30" s="116" t="inlineStr">
        <is>
          <t xml:space="preserve">6 / - / - </t>
        </is>
      </c>
      <c r="E30" s="82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59" t="inlineStr">
        <is>
          <t>ж/б 0.45 / 20</t>
        </is>
      </c>
      <c r="G30" s="86" t="inlineStr">
        <is>
          <t>12 мес.</t>
        </is>
      </c>
      <c r="H30" s="57" t="n">
        <v>225</v>
      </c>
      <c r="I30" s="92" t="inlineStr">
        <is>
          <t>много</t>
        </is>
      </c>
      <c r="J30" s="127" t="n">
        <v>1</v>
      </c>
      <c r="K30" s="127">
        <f>PRODUCT(H30,J30)</f>
        <v/>
      </c>
    </row>
    <row r="31" hidden="1" s="201">
      <c r="A31" s="196" t="inlineStr">
        <is>
          <t>МедА Сибири</t>
        </is>
      </c>
      <c r="B31" s="32" t="inlineStr">
        <is>
          <t>Strawberry &amp; Banana Pie Mead</t>
        </is>
      </c>
      <c r="C31" s="18" t="inlineStr">
        <is>
          <t>Mead</t>
        </is>
      </c>
      <c r="D31" s="116" t="inlineStr">
        <is>
          <t xml:space="preserve">6 / - / - </t>
        </is>
      </c>
      <c r="E31" s="98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59" t="inlineStr">
        <is>
          <t>ж/б 0.45 / 20</t>
        </is>
      </c>
      <c r="G31" s="86" t="inlineStr">
        <is>
          <t>12 мес.</t>
        </is>
      </c>
      <c r="H31" s="57" t="n">
        <v>279</v>
      </c>
      <c r="I31" s="92" t="inlineStr">
        <is>
          <t>много</t>
        </is>
      </c>
      <c r="J31" s="127" t="n">
        <v>0</v>
      </c>
      <c r="K31" s="127">
        <f>PRODUCT(H31,J31)</f>
        <v/>
      </c>
    </row>
    <row r="32" hidden="1" s="201">
      <c r="A32" s="54" t="inlineStr">
        <is>
          <t>Одна Тонна г. Жуковский</t>
        </is>
      </c>
      <c r="B32" s="202" t="n"/>
      <c r="C32" s="202" t="n"/>
      <c r="D32" s="202" t="n"/>
      <c r="E32" s="202" t="n"/>
      <c r="F32" s="202" t="n"/>
      <c r="G32" s="202" t="n"/>
      <c r="H32" s="202" t="n"/>
      <c r="I32" s="203" t="n"/>
      <c r="J32" s="54" t="n">
        <v>1</v>
      </c>
      <c r="K32" s="54" t="n"/>
    </row>
    <row r="33" hidden="1" s="201">
      <c r="A33" s="192" t="inlineStr">
        <is>
          <t>Одна Тонна</t>
        </is>
      </c>
      <c r="B33" s="31" t="inlineStr">
        <is>
          <t>Отличный Урожай</t>
        </is>
      </c>
      <c r="C33" s="112" t="inlineStr">
        <is>
          <t>IPA</t>
        </is>
      </c>
      <c r="D33" s="112" t="inlineStr">
        <is>
          <t>6 / 16 / 75</t>
        </is>
      </c>
      <c r="E33" s="42" t="inlineStr">
        <is>
          <t>Классика жанра. Очень ароматный горьковатый эль, в охмелении которого использовано пять сортов хмеля.</t>
        </is>
      </c>
      <c r="F33" s="86" t="inlineStr">
        <is>
          <t>ж/б 0.5 / 20</t>
        </is>
      </c>
      <c r="G33" s="112" t="inlineStr">
        <is>
          <t>8 мес.</t>
        </is>
      </c>
      <c r="H33" s="49" t="n">
        <v>189</v>
      </c>
      <c r="I33" s="92" t="inlineStr">
        <is>
          <t>много</t>
        </is>
      </c>
      <c r="J33" s="127" t="n">
        <v>1</v>
      </c>
      <c r="K33" s="127">
        <f>PRODUCT(H33,J33)</f>
        <v/>
      </c>
    </row>
    <row r="34" hidden="1" s="201">
      <c r="A34" s="192" t="inlineStr">
        <is>
          <t>Одна Тонна</t>
        </is>
      </c>
      <c r="B34" s="31" t="inlineStr">
        <is>
          <t>Рыжая Соня</t>
        </is>
      </c>
      <c r="C34" s="112" t="inlineStr">
        <is>
          <t>IPA</t>
        </is>
      </c>
      <c r="D34" s="112" t="inlineStr">
        <is>
          <t>6,2 / 16 / 54</t>
        </is>
      </c>
      <c r="E34" s="42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4" s="86" t="inlineStr">
        <is>
          <t>ж/б 0.5 / 20</t>
        </is>
      </c>
      <c r="G34" s="112" t="inlineStr">
        <is>
          <t>8 мес.</t>
        </is>
      </c>
      <c r="H34" s="49" t="n">
        <v>195</v>
      </c>
      <c r="I34" s="92" t="inlineStr">
        <is>
          <t>много</t>
        </is>
      </c>
      <c r="J34" s="127" t="n">
        <v>1</v>
      </c>
      <c r="K34" s="127">
        <f>PRODUCT(H34,J34)</f>
        <v/>
      </c>
    </row>
    <row r="35" hidden="1" s="201">
      <c r="A35" s="192" t="inlineStr">
        <is>
          <t>Одна Тонна</t>
        </is>
      </c>
      <c r="B35" s="30" t="inlineStr">
        <is>
          <t>Селестиал: Strata, Citra, Mosaic</t>
        </is>
      </c>
      <c r="C35" s="41" t="inlineStr">
        <is>
          <t>AIPA</t>
        </is>
      </c>
      <c r="D35" s="41" t="inlineStr">
        <is>
          <t>6,8 / 15,5 / -</t>
        </is>
      </c>
      <c r="E35" s="42" t="inlineStr">
        <is>
      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Mosaic.</t>
        </is>
      </c>
      <c r="F35" s="159" t="inlineStr">
        <is>
          <t>ж/б 0.5 / 20</t>
        </is>
      </c>
      <c r="G35" s="41" t="inlineStr">
        <is>
          <t>12 мес.</t>
        </is>
      </c>
      <c r="H35" s="147" t="n">
        <v>225</v>
      </c>
      <c r="I35" s="93" t="inlineStr">
        <is>
          <t>много</t>
        </is>
      </c>
      <c r="J35" s="127" t="n">
        <v>1</v>
      </c>
      <c r="K35" s="127">
        <f>PRODUCT(H35,J35)</f>
        <v/>
      </c>
    </row>
    <row r="36" hidden="1" s="201">
      <c r="A36" s="192" t="inlineStr">
        <is>
          <t>Одна Тонна</t>
        </is>
      </c>
      <c r="B36" s="31" t="inlineStr">
        <is>
          <t>Утро Туманное</t>
        </is>
      </c>
      <c r="C36" s="112" t="inlineStr">
        <is>
          <t>NE IPA</t>
        </is>
      </c>
      <c r="D36" s="112" t="inlineStr">
        <is>
          <t>6 / 16,5 / -</t>
        </is>
      </c>
      <c r="E36" s="42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6" s="86" t="inlineStr">
        <is>
          <t>ж/б 0.5 / 20</t>
        </is>
      </c>
      <c r="G36" s="112" t="inlineStr">
        <is>
          <t>8 мес.</t>
        </is>
      </c>
      <c r="H36" s="49" t="n">
        <v>239</v>
      </c>
      <c r="I36" s="92" t="inlineStr">
        <is>
          <t>много</t>
        </is>
      </c>
      <c r="J36" s="127" t="n">
        <v>1</v>
      </c>
      <c r="K36" s="127">
        <f>PRODUCT(H36,J36)</f>
        <v/>
      </c>
    </row>
    <row r="37" hidden="1" s="201">
      <c r="A37" s="192" t="inlineStr">
        <is>
          <t>Одна Тонна</t>
        </is>
      </c>
      <c r="B37" s="28" t="inlineStr">
        <is>
          <t>Эбру Черная смородина, Малина, Гранат, Арония</t>
        </is>
      </c>
      <c r="C37" s="63" t="inlineStr">
        <is>
          <t>Mead</t>
        </is>
      </c>
      <c r="D37" s="63" t="inlineStr">
        <is>
          <t>6 / - / -</t>
        </is>
      </c>
      <c r="E37" s="42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7" s="62" t="inlineStr">
        <is>
          <t>ж/б 0.5 / 20</t>
        </is>
      </c>
      <c r="G37" s="63" t="inlineStr">
        <is>
          <t>8 мес.</t>
        </is>
      </c>
      <c r="H37" s="52" t="n">
        <v>309</v>
      </c>
      <c r="I37" s="48" t="n">
        <v>2</v>
      </c>
      <c r="J37" s="127" t="n">
        <v>1</v>
      </c>
      <c r="K37" s="127">
        <f>PRODUCT(H37,J37)</f>
        <v/>
      </c>
    </row>
    <row r="38" hidden="1" s="201">
      <c r="A38" s="192" t="inlineStr">
        <is>
          <t>Одна Тонна</t>
        </is>
      </c>
      <c r="B38" s="17" t="inlineStr">
        <is>
          <t>Desítka</t>
        </is>
      </c>
      <c r="C38" s="112" t="inlineStr">
        <is>
          <t>Lager</t>
        </is>
      </c>
      <c r="D38" s="112" t="inlineStr">
        <is>
          <t>4 / 10,5 / -</t>
        </is>
      </c>
      <c r="E38" s="42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38" s="86" t="inlineStr">
        <is>
          <t>ж/б 0.5 / 20</t>
        </is>
      </c>
      <c r="G38" s="112" t="inlineStr">
        <is>
          <t>8 мес.</t>
        </is>
      </c>
      <c r="H38" s="49" t="n">
        <v>175</v>
      </c>
      <c r="I38" s="92" t="inlineStr">
        <is>
          <t>много</t>
        </is>
      </c>
      <c r="J38" s="127" t="n">
        <v>1</v>
      </c>
      <c r="K38" s="127">
        <f>PRODUCT(H38,J38)</f>
        <v/>
      </c>
    </row>
    <row r="39" hidden="1" s="201">
      <c r="A39" s="192" t="inlineStr">
        <is>
          <t>Одна Тонна</t>
        </is>
      </c>
      <c r="B39" s="31" t="inlineStr">
        <is>
          <t>Honeypot: Вишня</t>
        </is>
      </c>
      <c r="C39" s="112" t="inlineStr">
        <is>
          <t>Mead</t>
        </is>
      </c>
      <c r="D39" s="112" t="inlineStr">
        <is>
          <t>6 / - / -</t>
        </is>
      </c>
      <c r="E39" s="42" t="inlineStr">
        <is>
          <t>Honeypot с нежно любимой нами вишней, которая передала мёду характерную кислинку и летнюю сочность.</t>
        </is>
      </c>
      <c r="F39" s="86" t="inlineStr">
        <is>
          <t>ж/б 0.5 / 20</t>
        </is>
      </c>
      <c r="G39" s="112" t="inlineStr">
        <is>
          <t>8 мес.</t>
        </is>
      </c>
      <c r="H39" s="49" t="n">
        <v>205</v>
      </c>
      <c r="I39" s="92" t="inlineStr">
        <is>
          <t>много</t>
        </is>
      </c>
      <c r="J39" s="127" t="n">
        <v>1</v>
      </c>
      <c r="K39" s="127">
        <f>PRODUCT(H39,J39)</f>
        <v/>
      </c>
    </row>
    <row r="40" hidden="1" s="201">
      <c r="A40" s="192" t="inlineStr">
        <is>
          <t>Одна Тонна</t>
        </is>
      </c>
      <c r="B40" s="31" t="inlineStr">
        <is>
          <t>Honeypot: Черная Смородина</t>
        </is>
      </c>
      <c r="C40" s="112" t="inlineStr">
        <is>
          <t>Mead</t>
        </is>
      </c>
      <c r="D40" s="112" t="inlineStr">
        <is>
          <t>6 / - / -</t>
        </is>
      </c>
      <c r="E40" s="42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0" s="86" t="inlineStr">
        <is>
          <t>ж/б 0.5 / 20</t>
        </is>
      </c>
      <c r="G40" s="112" t="inlineStr">
        <is>
          <t>8 мес.</t>
        </is>
      </c>
      <c r="H40" s="49" t="n">
        <v>205</v>
      </c>
      <c r="I40" s="92" t="inlineStr">
        <is>
          <t>много</t>
        </is>
      </c>
      <c r="J40" s="127" t="n">
        <v>1</v>
      </c>
      <c r="K40" s="127">
        <f>PRODUCT(H40,J40)</f>
        <v/>
      </c>
    </row>
    <row r="41" hidden="1" s="201">
      <c r="A41" s="192" t="inlineStr">
        <is>
          <t>Одна Тонна</t>
        </is>
      </c>
      <c r="B41" s="28" t="inlineStr">
        <is>
          <t>Hyperpink: Citra Cryo, Krush, Motueka</t>
        </is>
      </c>
      <c r="C41" s="41" t="inlineStr">
        <is>
          <t>NE IPA</t>
        </is>
      </c>
      <c r="D41" s="41" t="inlineStr">
        <is>
          <t>6,5 / 16,5 / -</t>
        </is>
      </c>
      <c r="E41" s="42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1" s="159" t="inlineStr">
        <is>
          <t>ж/б 0.5 / 20</t>
        </is>
      </c>
      <c r="G41" s="41" t="inlineStr">
        <is>
          <t>8 мес.</t>
        </is>
      </c>
      <c r="H41" s="147" t="n">
        <v>255</v>
      </c>
      <c r="I41" s="92" t="inlineStr">
        <is>
          <t>много</t>
        </is>
      </c>
      <c r="J41" s="127" t="n">
        <v>1</v>
      </c>
      <c r="K41" s="127">
        <f>PRODUCT(H41,J41)</f>
        <v/>
      </c>
    </row>
    <row r="42" hidden="1" s="201">
      <c r="A42" s="192" t="inlineStr">
        <is>
          <t>Одна Тонна</t>
        </is>
      </c>
      <c r="B42" s="17" t="inlineStr">
        <is>
          <t>Luna Park: Апельсин Грейпфрут Персик</t>
        </is>
      </c>
      <c r="C42" s="63" t="inlineStr">
        <is>
          <t>Mead</t>
        </is>
      </c>
      <c r="D42" s="63" t="inlineStr">
        <is>
          <t>6 / - / -</t>
        </is>
      </c>
      <c r="E42" s="50" t="inlineStr">
        <is>
          <t>Luna Park - обновленная серия смузи мидов от Пивоварни "Одна тонна". Обманчиво лёгкие и удивительно питкие, они в каждом глотке содержат нежность пюре фруктов и ягод и сладость отборного мёда.</t>
        </is>
      </c>
      <c r="F42" s="62" t="inlineStr">
        <is>
          <t>ж/б 0.5 / 20</t>
        </is>
      </c>
      <c r="G42" s="63" t="inlineStr">
        <is>
          <t>8 мес.</t>
        </is>
      </c>
      <c r="H42" s="52" t="n">
        <v>299</v>
      </c>
      <c r="I42" s="93" t="inlineStr">
        <is>
          <t>много</t>
        </is>
      </c>
      <c r="J42" s="127" t="n">
        <v>1</v>
      </c>
      <c r="K42" s="127">
        <f>PRODUCT(H42,J42)</f>
        <v/>
      </c>
    </row>
    <row r="43" hidden="1" s="201">
      <c r="A43" s="192" t="inlineStr">
        <is>
          <t>Одна Тонна</t>
        </is>
      </c>
      <c r="B43" s="17" t="inlineStr">
        <is>
          <t>Luna Park: Манго Грейпфрут Апельсин</t>
        </is>
      </c>
      <c r="C43" s="63" t="inlineStr">
        <is>
          <t>Mead</t>
        </is>
      </c>
      <c r="D43" s="63" t="inlineStr">
        <is>
          <t>6 / - / -</t>
        </is>
      </c>
      <c r="E43" s="50" t="inlineStr">
        <is>
          <t>Smoothie Mead с манго, грейпфрутом и апельсином.</t>
        </is>
      </c>
      <c r="F43" s="62" t="inlineStr">
        <is>
          <t>ж/б 0.5 / 20</t>
        </is>
      </c>
      <c r="G43" s="63" t="inlineStr">
        <is>
          <t>8 мес.</t>
        </is>
      </c>
      <c r="H43" s="52" t="n">
        <v>299</v>
      </c>
      <c r="I43" s="93" t="inlineStr">
        <is>
          <t>много</t>
        </is>
      </c>
      <c r="J43" s="127" t="n">
        <v>1</v>
      </c>
      <c r="K43" s="127">
        <f>PRODUCT(H43,J43)</f>
        <v/>
      </c>
    </row>
    <row r="44" hidden="1" s="201">
      <c r="A44" s="192" t="inlineStr">
        <is>
          <t>Одна Тонна</t>
        </is>
      </c>
      <c r="B44" s="17" t="inlineStr">
        <is>
          <t>Luna Park: Персик Манго Апельсин</t>
        </is>
      </c>
      <c r="C44" s="63" t="inlineStr">
        <is>
          <t>Mead</t>
        </is>
      </c>
      <c r="D44" s="63" t="inlineStr">
        <is>
          <t>6 / - / -</t>
        </is>
      </c>
      <c r="E44" s="50" t="inlineStr">
        <is>
          <t>Smoothie Mead с манго, апельсином и персиком.</t>
        </is>
      </c>
      <c r="F44" s="62" t="inlineStr">
        <is>
          <t>ж/б 0.5 / 20</t>
        </is>
      </c>
      <c r="G44" s="63" t="inlineStr">
        <is>
          <t>8 мес.</t>
        </is>
      </c>
      <c r="H44" s="52" t="n">
        <v>319</v>
      </c>
      <c r="I44" s="93" t="inlineStr">
        <is>
          <t>много</t>
        </is>
      </c>
      <c r="J44" s="127" t="n">
        <v>1</v>
      </c>
      <c r="K44" s="127">
        <f>PRODUCT(H44,J44)</f>
        <v/>
      </c>
    </row>
    <row r="45" hidden="1" s="201">
      <c r="A45" s="192" t="inlineStr">
        <is>
          <t>Одна Тонна</t>
        </is>
      </c>
      <c r="B45" s="31" t="inlineStr">
        <is>
          <t>Mr. Golding</t>
        </is>
      </c>
      <c r="C45" s="18" t="inlineStr">
        <is>
          <t>Porter</t>
        </is>
      </c>
      <c r="D45" s="86" t="inlineStr">
        <is>
          <t>6 / 18 / -</t>
        </is>
      </c>
      <c r="E45" s="42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62" t="inlineStr">
        <is>
          <t>ж/б 0.5 / 20</t>
        </is>
      </c>
      <c r="G45" s="63" t="inlineStr">
        <is>
          <t>8 мес.</t>
        </is>
      </c>
      <c r="H45" s="52" t="n">
        <v>195</v>
      </c>
      <c r="I45" s="93" t="inlineStr">
        <is>
          <t>много</t>
        </is>
      </c>
      <c r="J45" s="127" t="n">
        <v>1</v>
      </c>
      <c r="K45" s="127">
        <f>PRODUCT(H45,J45)</f>
        <v/>
      </c>
    </row>
    <row r="46" hidden="1" s="201">
      <c r="A46" s="192" t="inlineStr">
        <is>
          <t>Одна Тонна</t>
        </is>
      </c>
      <c r="B46" s="30" t="inlineStr">
        <is>
          <t>Schukowski Pils / Жуковский Пилс</t>
        </is>
      </c>
      <c r="C46" s="41" t="inlineStr">
        <is>
          <t>Pils</t>
        </is>
      </c>
      <c r="D46" s="41" t="inlineStr">
        <is>
          <t xml:space="preserve">4,6 / - / - </t>
        </is>
      </c>
      <c r="E46" s="42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6" s="159" t="inlineStr">
        <is>
          <t>ж/б 0.5 / 20</t>
        </is>
      </c>
      <c r="G46" s="41" t="inlineStr">
        <is>
          <t>8 мес.</t>
        </is>
      </c>
      <c r="H46" s="147" t="n">
        <v>175</v>
      </c>
      <c r="I46" s="93" t="inlineStr">
        <is>
          <t>много</t>
        </is>
      </c>
      <c r="J46" s="127" t="n">
        <v>1</v>
      </c>
      <c r="K46" s="127">
        <f>PRODUCT(H46,J46)</f>
        <v/>
      </c>
    </row>
    <row r="47" hidden="1" s="201">
      <c r="A47" s="192" t="inlineStr">
        <is>
          <t>Одна Тонна</t>
        </is>
      </c>
      <c r="B47" s="30" t="inlineStr">
        <is>
          <t>Žukovskij Ležák / Жуковский Лежак</t>
        </is>
      </c>
      <c r="C47" s="41" t="inlineStr">
        <is>
          <t>Lager</t>
        </is>
      </c>
      <c r="D47" s="41" t="inlineStr">
        <is>
          <t xml:space="preserve">4,5 / - / - </t>
        </is>
      </c>
      <c r="E47" s="42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7" s="62" t="inlineStr">
        <is>
          <t>ж/б 0.5 / 20</t>
        </is>
      </c>
      <c r="G47" s="63" t="inlineStr">
        <is>
          <t>8 мес.</t>
        </is>
      </c>
      <c r="H47" s="52" t="n">
        <v>175</v>
      </c>
      <c r="I47" s="93" t="inlineStr">
        <is>
          <t>много</t>
        </is>
      </c>
      <c r="J47" s="127" t="n">
        <v>0</v>
      </c>
      <c r="K47" s="127">
        <f>PRODUCT(H47,J47)</f>
        <v/>
      </c>
    </row>
    <row r="48" hidden="1" s="201">
      <c r="A48" s="54" t="inlineStr">
        <is>
          <t>Сидродельня Леонида Леврана г. Изборск</t>
        </is>
      </c>
      <c r="B48" s="202" t="n"/>
      <c r="C48" s="202" t="n"/>
      <c r="D48" s="202" t="n"/>
      <c r="E48" s="202" t="n"/>
      <c r="F48" s="202" t="n"/>
      <c r="G48" s="202" t="n"/>
      <c r="H48" s="202" t="n"/>
      <c r="I48" s="203" t="n"/>
      <c r="J48" s="54" t="n">
        <v>1</v>
      </c>
      <c r="K48" s="54" t="n"/>
    </row>
    <row r="49" hidden="1" s="201">
      <c r="A49" s="55" t="inlineStr">
        <is>
          <t>Сидродельня Леонида Леврана</t>
        </is>
      </c>
      <c r="B49" s="28" t="inlineStr">
        <is>
          <t>Сидр Сухой Старый Изборск бут 0.33</t>
        </is>
      </c>
      <c r="C49" s="18" t="inlineStr">
        <is>
          <t>Cider</t>
        </is>
      </c>
      <c r="D49" s="116" t="inlineStr">
        <is>
          <t>5,5 / - / -</t>
        </is>
      </c>
      <c r="E49" s="82" t="inlineStr">
        <is>
          <t>Старый Изборск — базовый и чистый, с яркой яблочной кислотностью и лёгкой мягкостью.</t>
        </is>
      </c>
      <c r="F49" s="159" t="inlineStr">
        <is>
          <t>бут 0.33 / 12</t>
        </is>
      </c>
      <c r="G49" s="86" t="inlineStr">
        <is>
          <t>24 мес.</t>
        </is>
      </c>
      <c r="H49" s="57" t="n">
        <v>185</v>
      </c>
      <c r="I49" s="93" t="inlineStr">
        <is>
          <t>много</t>
        </is>
      </c>
      <c r="J49" s="127" t="n">
        <v>1</v>
      </c>
      <c r="K49" s="127">
        <f>PRODUCT(H49,J49)</f>
        <v/>
      </c>
    </row>
    <row r="50" hidden="1" s="201">
      <c r="A50" s="55" t="inlineStr">
        <is>
          <t>Сидродельня Леонида Леврана</t>
        </is>
      </c>
      <c r="B50" s="30" t="inlineStr">
        <is>
          <t>Сидр Сухой Старый Изборск 0.75</t>
        </is>
      </c>
      <c r="C50" s="18" t="inlineStr">
        <is>
          <t>Cider</t>
        </is>
      </c>
      <c r="D50" s="116" t="inlineStr">
        <is>
          <t>5,5 / - / -</t>
        </is>
      </c>
      <c r="E50" s="82" t="inlineStr">
        <is>
          <t>Старый Изборск — базовый и чистый, с яркой яблочной кислотностью и лёгкой мягкостью.</t>
        </is>
      </c>
      <c r="F50" s="159" t="inlineStr">
        <is>
          <t>бут 0.75 / 6</t>
        </is>
      </c>
      <c r="G50" s="86" t="inlineStr">
        <is>
          <t>24 мес.</t>
        </is>
      </c>
      <c r="H50" s="57" t="n">
        <v>509</v>
      </c>
      <c r="I50" s="56" t="inlineStr">
        <is>
          <t>ожидается поступление</t>
        </is>
      </c>
      <c r="J50" s="127" t="n">
        <v>1</v>
      </c>
      <c r="K50" s="127">
        <f>PRODUCT(H50,J50)</f>
        <v/>
      </c>
    </row>
    <row r="51" hidden="1" s="201">
      <c r="A51" s="55" t="inlineStr">
        <is>
          <t>Сидродельня Леонида Леврана</t>
        </is>
      </c>
      <c r="B51" s="28" t="inlineStr">
        <is>
          <t>Сидр Полусухой Псковский Терруар бут 0.33</t>
        </is>
      </c>
      <c r="C51" s="18" t="inlineStr">
        <is>
          <t>Cider</t>
        </is>
      </c>
      <c r="D51" s="116" t="inlineStr">
        <is>
          <t>5,5 / - / -</t>
        </is>
      </c>
      <c r="E51" s="82" t="inlineStr">
        <is>
          <t>Псковский терруар — баланс свежей кислотности и сладости яблок с небольшой терпкостью на послевкусии.</t>
        </is>
      </c>
      <c r="F51" s="159" t="inlineStr">
        <is>
          <t>бут 0.33 / 12</t>
        </is>
      </c>
      <c r="G51" s="86" t="inlineStr">
        <is>
          <t>24 мес.</t>
        </is>
      </c>
      <c r="H51" s="57" t="n">
        <v>189</v>
      </c>
      <c r="I51" s="93" t="inlineStr">
        <is>
          <t>много</t>
        </is>
      </c>
      <c r="J51" s="127" t="n">
        <v>1</v>
      </c>
      <c r="K51" s="127">
        <f>PRODUCT(H51,J51)</f>
        <v/>
      </c>
    </row>
    <row r="52" hidden="1" s="201">
      <c r="A52" s="55" t="inlineStr">
        <is>
          <t>Сидродельня Леонида Леврана</t>
        </is>
      </c>
      <c r="B52" s="30" t="inlineStr">
        <is>
          <t>Сидр Полусухой Псковский Терруар 0.75</t>
        </is>
      </c>
      <c r="C52" s="18" t="inlineStr">
        <is>
          <t>Cider</t>
        </is>
      </c>
      <c r="D52" s="116" t="inlineStr">
        <is>
          <t>5,5 / - / -</t>
        </is>
      </c>
      <c r="E52" s="82" t="inlineStr">
        <is>
          <t>Псковский терруар — баланс свежей кислотности и сладости яблок с небольшой терпкостью на послевкусии.</t>
        </is>
      </c>
      <c r="F52" s="159" t="inlineStr">
        <is>
          <t>бут 0.75 / 6</t>
        </is>
      </c>
      <c r="G52" s="86" t="inlineStr">
        <is>
          <t>24 мес.</t>
        </is>
      </c>
      <c r="H52" s="57" t="n">
        <v>525</v>
      </c>
      <c r="I52" s="93" t="inlineStr">
        <is>
          <t>много</t>
        </is>
      </c>
      <c r="J52" s="127" t="n">
        <v>1</v>
      </c>
      <c r="K52" s="127">
        <f>PRODUCT(H52,J52)</f>
        <v/>
      </c>
    </row>
    <row r="53" hidden="1" s="201">
      <c r="A53" s="55" t="inlineStr">
        <is>
          <t>Сидродельня Леонида Леврана</t>
        </is>
      </c>
      <c r="B53" s="28" t="inlineStr">
        <is>
          <t>Сидр Полусладкий 862 бут 0.33</t>
        </is>
      </c>
      <c r="C53" s="18" t="inlineStr">
        <is>
          <t>Cider</t>
        </is>
      </c>
      <c r="D53" s="116" t="inlineStr">
        <is>
          <t>5,5 / - / -</t>
        </is>
      </c>
      <c r="E53" s="82" t="inlineStr">
        <is>
          <t>862 — Десертный сидр. Яркая ароматика бисквита, насыщенный вкус печёных яблок.</t>
        </is>
      </c>
      <c r="F53" s="159" t="inlineStr">
        <is>
          <t>бут 0.33 / 12</t>
        </is>
      </c>
      <c r="G53" s="86" t="inlineStr">
        <is>
          <t>24 мес.</t>
        </is>
      </c>
      <c r="H53" s="57" t="n">
        <v>195</v>
      </c>
      <c r="I53" s="93" t="inlineStr">
        <is>
          <t>много</t>
        </is>
      </c>
      <c r="J53" s="127" t="n">
        <v>1</v>
      </c>
      <c r="K53" s="127">
        <f>PRODUCT(H53,J53)</f>
        <v/>
      </c>
    </row>
    <row r="54" hidden="1" s="201">
      <c r="A54" s="55" t="inlineStr">
        <is>
          <t>Сидродельня Леонида Леврана</t>
        </is>
      </c>
      <c r="B54" s="31" t="inlineStr">
        <is>
          <t>Сидр Полусладкий 862 0.75</t>
        </is>
      </c>
      <c r="C54" s="18" t="inlineStr">
        <is>
          <t>Cider</t>
        </is>
      </c>
      <c r="D54" s="116" t="inlineStr">
        <is>
          <t>5,5 / - / -</t>
        </is>
      </c>
      <c r="E54" s="82" t="inlineStr">
        <is>
          <t>862 — Десертный сидр. Яркая ароматика бисквита, насыщенный вкус печёных яблок.</t>
        </is>
      </c>
      <c r="F54" s="159" t="inlineStr">
        <is>
          <t>бут 0.75 / 6</t>
        </is>
      </c>
      <c r="G54" s="86" t="inlineStr">
        <is>
          <t>24 мес.</t>
        </is>
      </c>
      <c r="H54" s="57" t="n">
        <v>535</v>
      </c>
      <c r="I54" s="93" t="inlineStr">
        <is>
          <t>много</t>
        </is>
      </c>
      <c r="J54" s="127" t="n">
        <v>1</v>
      </c>
      <c r="K54" s="127">
        <f>PRODUCT(H54,J54)</f>
        <v/>
      </c>
    </row>
    <row r="55" hidden="1" s="201">
      <c r="A55" s="55" t="inlineStr">
        <is>
          <t>Сидродельня Леонида Леврана</t>
        </is>
      </c>
      <c r="B55" s="26" t="inlineStr">
        <is>
          <t>Сидр Сухой Пуаре 0.75</t>
        </is>
      </c>
      <c r="C55" s="18" t="inlineStr">
        <is>
          <t>Cider - Poiré</t>
        </is>
      </c>
      <c r="D55" s="116" t="inlineStr">
        <is>
          <t>5,5 / - / -</t>
        </is>
      </c>
      <c r="E55" s="98" t="inlineStr">
        <is>
          <t>Пуаре - бленд столовых и диких груш. Сухой, с обволакивающей вяжущей терпкостью.</t>
        </is>
      </c>
      <c r="F55" s="159" t="inlineStr">
        <is>
          <t>бут 0.75 / 6</t>
        </is>
      </c>
      <c r="G55" s="86" t="inlineStr">
        <is>
          <t>24 мес.</t>
        </is>
      </c>
      <c r="H55" s="57" t="n">
        <v>689</v>
      </c>
      <c r="I55" s="93" t="inlineStr">
        <is>
          <t>много</t>
        </is>
      </c>
      <c r="J55" s="127" t="n">
        <v>1</v>
      </c>
      <c r="K55" s="127">
        <f>PRODUCT(H55,J55)</f>
        <v/>
      </c>
    </row>
    <row r="56" hidden="1" s="201">
      <c r="A56" s="55" t="inlineStr">
        <is>
          <t>Сидродельня Леонида Леврана</t>
        </is>
      </c>
      <c r="B56" s="26" t="inlineStr">
        <is>
          <t>Сидр Полусухой Органический бут 0.33</t>
        </is>
      </c>
      <c r="C56" s="18" t="inlineStr">
        <is>
          <t>Cider</t>
        </is>
      </c>
      <c r="D56" s="116" t="inlineStr">
        <is>
          <t>5,5 / - / -</t>
        </is>
      </c>
      <c r="E56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6" s="159" t="inlineStr">
        <is>
          <t>бут 0.75 / 6</t>
        </is>
      </c>
      <c r="G56" s="86" t="inlineStr">
        <is>
          <t>24 мес.</t>
        </is>
      </c>
      <c r="H56" s="57" t="n">
        <v>285</v>
      </c>
      <c r="I56" s="127" t="inlineStr">
        <is>
          <t>новинка</t>
        </is>
      </c>
      <c r="J56" s="127" t="n">
        <v>1</v>
      </c>
      <c r="K56" s="127">
        <f>PRODUCT(H56,J56)</f>
        <v/>
      </c>
    </row>
    <row r="57" hidden="1" s="201">
      <c r="A57" s="55" t="inlineStr">
        <is>
          <t>Сидродельня Леонида Леврана</t>
        </is>
      </c>
      <c r="B57" s="26" t="inlineStr">
        <is>
          <t>Сидр Полусухой Органический 0.75</t>
        </is>
      </c>
      <c r="C57" s="18" t="inlineStr">
        <is>
          <t>Cider</t>
        </is>
      </c>
      <c r="D57" s="116" t="inlineStr">
        <is>
          <t>5,5 / - / -</t>
        </is>
      </c>
      <c r="E57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7" s="159" t="inlineStr">
        <is>
          <t>бут 0.75 / 6</t>
        </is>
      </c>
      <c r="G57" s="86" t="inlineStr">
        <is>
          <t>24 мес.</t>
        </is>
      </c>
      <c r="H57" s="57" t="n">
        <v>689</v>
      </c>
      <c r="I57" s="93" t="inlineStr">
        <is>
          <t>много</t>
        </is>
      </c>
      <c r="J57" s="127" t="n">
        <v>1</v>
      </c>
      <c r="K57" s="127">
        <f>PRODUCT(H57,J57)</f>
        <v/>
      </c>
    </row>
    <row r="58" hidden="1" s="201">
      <c r="A58" s="55" t="inlineStr">
        <is>
          <t>Сидродельня Леонида Леврана</t>
        </is>
      </c>
      <c r="B58" s="26" t="inlineStr">
        <is>
          <t>Сидр Сухой Ревень ж/б 0.33</t>
        </is>
      </c>
      <c r="C58" s="18" t="inlineStr">
        <is>
          <t>Cider</t>
        </is>
      </c>
      <c r="D58" s="116" t="inlineStr">
        <is>
          <t>5,5 / - / -</t>
        </is>
      </c>
      <c r="E58" s="98" t="inlineStr">
        <is>
          <t>Сухой сидр с ревенем. Хрустящая кислотность, терпкость кожуры и оттенки сена на послевкусии.</t>
        </is>
      </c>
      <c r="F58" s="159" t="inlineStr">
        <is>
          <t>бут 0.33 / 12</t>
        </is>
      </c>
      <c r="G58" s="86" t="inlineStr">
        <is>
          <t>24 мес.</t>
        </is>
      </c>
      <c r="H58" s="57" t="n">
        <v>255</v>
      </c>
      <c r="I58" s="127" t="inlineStr">
        <is>
          <t>новинка</t>
        </is>
      </c>
      <c r="J58" s="127" t="n">
        <v>1</v>
      </c>
      <c r="K58" s="127">
        <f>PRODUCT(H58,J58)</f>
        <v/>
      </c>
    </row>
    <row r="59" hidden="1" s="201">
      <c r="A59" s="55" t="inlineStr">
        <is>
          <t>Сидродельня Леонида Леврана</t>
        </is>
      </c>
      <c r="B59" s="32" t="inlineStr">
        <is>
          <t>Сидр Полусухой Hop Me бут 0.33</t>
        </is>
      </c>
      <c r="C59" s="18" t="inlineStr">
        <is>
          <t>Cider</t>
        </is>
      </c>
      <c r="D59" s="116" t="inlineStr">
        <is>
          <t>5,5 / - / -</t>
        </is>
      </c>
      <c r="E59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9" s="159" t="inlineStr">
        <is>
          <t>бут 0.33 / 12</t>
        </is>
      </c>
      <c r="G59" s="86" t="inlineStr">
        <is>
          <t>24 мес.</t>
        </is>
      </c>
      <c r="H59" s="92" t="n">
        <v>205</v>
      </c>
      <c r="I59" s="93" t="inlineStr">
        <is>
          <t>много</t>
        </is>
      </c>
      <c r="J59" s="127" t="n">
        <v>1</v>
      </c>
      <c r="K59" s="127">
        <f>PRODUCT(H59,J59)</f>
        <v/>
      </c>
    </row>
    <row r="60" hidden="1" s="201">
      <c r="A60" s="55" t="inlineStr">
        <is>
          <t>Сидродельня Леонида Леврана</t>
        </is>
      </c>
      <c r="B60" s="26" t="inlineStr">
        <is>
          <t>Сидр Полусухой Hop Me ж/б 0.33</t>
        </is>
      </c>
      <c r="C60" s="18" t="inlineStr">
        <is>
          <t>Cider</t>
        </is>
      </c>
      <c r="D60" s="116" t="inlineStr">
        <is>
          <t>5,5 / - / -</t>
        </is>
      </c>
      <c r="E60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0" s="159" t="inlineStr">
        <is>
          <t>бут 0.33 / 12</t>
        </is>
      </c>
      <c r="G60" s="86" t="inlineStr">
        <is>
          <t>24 мес.</t>
        </is>
      </c>
      <c r="H60" s="92" t="n">
        <v>205</v>
      </c>
      <c r="I60" s="127" t="inlineStr">
        <is>
          <t>новинка</t>
        </is>
      </c>
      <c r="J60" s="127" t="n">
        <v>1</v>
      </c>
      <c r="K60" s="127">
        <f>PRODUCT(H60,J60)</f>
        <v/>
      </c>
    </row>
    <row r="61" hidden="1" s="201">
      <c r="A61" s="55" t="inlineStr">
        <is>
          <t>Сидродельня Леонида Леврана</t>
        </is>
      </c>
      <c r="B61" s="26" t="inlineStr">
        <is>
          <t>Сидр Сухой Hop Me бут 0.33</t>
        </is>
      </c>
      <c r="C61" s="18" t="inlineStr">
        <is>
          <t>Cider</t>
        </is>
      </c>
      <c r="D61" s="116" t="inlineStr">
        <is>
          <t>5,5 / - / -</t>
        </is>
      </c>
      <c r="E61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1" s="159" t="inlineStr">
        <is>
          <t>бут 0.33 / 12</t>
        </is>
      </c>
      <c r="G61" s="86" t="inlineStr">
        <is>
          <t>24 мес.</t>
        </is>
      </c>
      <c r="H61" s="57" t="n">
        <v>205</v>
      </c>
      <c r="I61" s="93" t="inlineStr">
        <is>
          <t>много</t>
        </is>
      </c>
      <c r="J61" s="127" t="n">
        <v>1</v>
      </c>
      <c r="K61" s="127">
        <f>PRODUCT(H61,J61)</f>
        <v/>
      </c>
    </row>
    <row r="62" hidden="1" s="201">
      <c r="A62" s="55" t="inlineStr">
        <is>
          <t>Сидродельня Леонида Леврана</t>
        </is>
      </c>
      <c r="B62" s="26" t="inlineStr">
        <is>
          <t>Сидр Сухой Hop Me ж/б 0.33</t>
        </is>
      </c>
      <c r="C62" s="18" t="inlineStr">
        <is>
          <t>Cider</t>
        </is>
      </c>
      <c r="D62" s="116" t="inlineStr">
        <is>
          <t>5,5 / - / -</t>
        </is>
      </c>
      <c r="E62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2" s="159" t="inlineStr">
        <is>
          <t>бут 0.33 / 12</t>
        </is>
      </c>
      <c r="G62" s="86" t="inlineStr">
        <is>
          <t>24 мес.</t>
        </is>
      </c>
      <c r="H62" s="57" t="n">
        <v>205</v>
      </c>
      <c r="I62" s="127" t="inlineStr">
        <is>
          <t>новинка</t>
        </is>
      </c>
      <c r="J62" s="127" t="n">
        <v>0</v>
      </c>
      <c r="K62" s="127">
        <f>PRODUCT(H62,J62)</f>
        <v/>
      </c>
    </row>
    <row r="63" hidden="1" s="201">
      <c r="A63" s="90" t="inlineStr">
        <is>
          <t>Чаща г. Москва</t>
        </is>
      </c>
      <c r="B63" s="202" t="n"/>
      <c r="C63" s="202" t="n"/>
      <c r="D63" s="202" t="n"/>
      <c r="E63" s="202" t="n"/>
      <c r="F63" s="202" t="n"/>
      <c r="G63" s="202" t="n"/>
      <c r="H63" s="202" t="n"/>
      <c r="I63" s="203" t="n"/>
      <c r="J63" s="90" t="n">
        <v>1</v>
      </c>
      <c r="K63" s="90" t="n"/>
    </row>
    <row r="64" hidden="1" s="201">
      <c r="A64" s="192" t="inlineStr">
        <is>
          <t>Чаща</t>
        </is>
      </c>
      <c r="B64" s="31" t="inlineStr">
        <is>
          <t>Дзен и искусство ухода за каламанси</t>
        </is>
      </c>
      <c r="C64" s="86" t="inlineStr">
        <is>
          <t>Fruited Gose</t>
        </is>
      </c>
      <c r="D64" s="86" t="inlineStr">
        <is>
          <t>5,5 / 14 / -</t>
        </is>
      </c>
      <c r="E64" s="60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4" s="86" t="inlineStr">
        <is>
          <t>ж/б 0.45 / 12</t>
        </is>
      </c>
      <c r="G64" s="86" t="inlineStr">
        <is>
          <t xml:space="preserve">12 мес. </t>
        </is>
      </c>
      <c r="H64" s="49" t="n">
        <v>229</v>
      </c>
      <c r="I64" s="127" t="inlineStr">
        <is>
          <t>новинка</t>
        </is>
      </c>
      <c r="J64" s="127" t="n">
        <v>1</v>
      </c>
      <c r="K64" s="127">
        <f>PRODUCT(H64,J64)</f>
        <v/>
      </c>
    </row>
    <row r="65" hidden="1" s="201">
      <c r="A65" s="192" t="inlineStr">
        <is>
          <t>Чаща</t>
        </is>
      </c>
      <c r="B65" s="31" t="inlineStr">
        <is>
          <t>Дзен и искусство ухода за цитрусами</t>
        </is>
      </c>
      <c r="C65" s="86" t="inlineStr">
        <is>
          <t>Fruited Gose</t>
        </is>
      </c>
      <c r="D65" s="86" t="inlineStr">
        <is>
          <t>5,5 / 14 / -</t>
        </is>
      </c>
      <c r="E65" s="60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5" s="86" t="inlineStr">
        <is>
          <t>ж/б 0.45 / 12</t>
        </is>
      </c>
      <c r="G65" s="86" t="inlineStr">
        <is>
          <t xml:space="preserve">12 мес. </t>
        </is>
      </c>
      <c r="H65" s="49" t="n">
        <v>229</v>
      </c>
      <c r="I65" s="127" t="inlineStr">
        <is>
          <t>новинка</t>
        </is>
      </c>
      <c r="J65" s="127" t="n">
        <v>1</v>
      </c>
      <c r="K65" s="127">
        <f>PRODUCT(H65,J65)</f>
        <v/>
      </c>
    </row>
    <row r="66" hidden="1" s="201">
      <c r="A66" s="192" t="inlineStr">
        <is>
          <t>Чаща</t>
        </is>
      </c>
      <c r="B66" s="17" t="inlineStr">
        <is>
          <t>Дислексия</t>
        </is>
      </c>
      <c r="C66" s="62" t="inlineStr">
        <is>
          <t>DDH Pilsner</t>
        </is>
      </c>
      <c r="D66" s="62" t="inlineStr">
        <is>
          <t>5,3 / 12,5 / 40</t>
        </is>
      </c>
      <c r="E66" s="64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6" s="62" t="inlineStr">
        <is>
          <t>ж/б 0.45 / 12</t>
        </is>
      </c>
      <c r="G66" s="62" t="inlineStr">
        <is>
          <t xml:space="preserve">12 мес. </t>
        </is>
      </c>
      <c r="H66" s="52" t="n">
        <v>235</v>
      </c>
      <c r="I66" s="93" t="inlineStr">
        <is>
          <t>много</t>
        </is>
      </c>
      <c r="J66" s="127" t="n">
        <v>1</v>
      </c>
      <c r="K66" s="127">
        <f>PRODUCT(H66,J66)</f>
        <v/>
      </c>
    </row>
    <row r="67" hidden="1" s="201">
      <c r="A67" s="192" t="inlineStr">
        <is>
          <t>Чаща</t>
        </is>
      </c>
      <c r="B67" s="31" t="inlineStr">
        <is>
          <t>Королева пентаклей</t>
        </is>
      </c>
      <c r="C67" s="86" t="inlineStr">
        <is>
          <t>Sour Ale</t>
        </is>
      </c>
      <c r="D67" s="86" t="inlineStr">
        <is>
          <t>6 / 16 / -</t>
        </is>
      </c>
      <c r="E67" s="60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7" s="86" t="inlineStr">
        <is>
          <t>ж/б 0.45 / 12</t>
        </is>
      </c>
      <c r="G67" s="86" t="inlineStr">
        <is>
          <t xml:space="preserve">12 мес. </t>
        </is>
      </c>
      <c r="H67" s="49" t="n">
        <v>229</v>
      </c>
      <c r="I67" s="93" t="inlineStr">
        <is>
          <t>много</t>
        </is>
      </c>
      <c r="J67" s="127" t="n">
        <v>1</v>
      </c>
      <c r="K67" s="127">
        <f>PRODUCT(H67,J67)</f>
        <v/>
      </c>
    </row>
    <row r="68" hidden="1" s="201">
      <c r="A68" s="192" t="inlineStr">
        <is>
          <t>Чаща</t>
        </is>
      </c>
      <c r="B68" s="31" t="inlineStr">
        <is>
          <t>Сон Масала Мандарин</t>
        </is>
      </c>
      <c r="C68" s="63" t="inlineStr">
        <is>
          <t>Mead</t>
        </is>
      </c>
      <c r="D68" s="62" t="inlineStr">
        <is>
          <t>6,5 / 17 / -</t>
        </is>
      </c>
      <c r="E68" s="64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68" s="62" t="inlineStr">
        <is>
          <t>ж/б 0.45 / 12</t>
        </is>
      </c>
      <c r="G68" s="62" t="inlineStr">
        <is>
          <t xml:space="preserve">12 мес. </t>
        </is>
      </c>
      <c r="H68" s="52" t="n">
        <v>225</v>
      </c>
      <c r="I68" s="93" t="inlineStr">
        <is>
          <t>много</t>
        </is>
      </c>
      <c r="J68" s="127" t="n">
        <v>1</v>
      </c>
      <c r="K68" s="127">
        <f>PRODUCT(H68,J68)</f>
        <v/>
      </c>
    </row>
    <row r="69" hidden="1" s="201">
      <c r="A69" s="192" t="inlineStr">
        <is>
          <t>Чаща</t>
        </is>
      </c>
      <c r="B69" s="31" t="inlineStr">
        <is>
          <t>Тотем</t>
        </is>
      </c>
      <c r="C69" s="62" t="inlineStr">
        <is>
          <t>IPA</t>
        </is>
      </c>
      <c r="D69" s="62" t="inlineStr">
        <is>
          <t>6,5 / 14,5 / 55</t>
        </is>
      </c>
      <c r="E69" s="64" t="inlineStr">
        <is>
          <t>West Coast IPA, охмелённый Ekuanot, Simcoe и Idaho 7.</t>
        </is>
      </c>
      <c r="F69" s="62" t="inlineStr">
        <is>
          <t>ж/б 0.45 / 12</t>
        </is>
      </c>
      <c r="G69" s="62" t="inlineStr">
        <is>
          <t xml:space="preserve">12 мес. </t>
        </is>
      </c>
      <c r="H69" s="52" t="n">
        <v>235</v>
      </c>
      <c r="I69" s="48" t="n">
        <v>10</v>
      </c>
      <c r="J69" s="127" t="n">
        <v>1</v>
      </c>
      <c r="K69" s="127">
        <f>PRODUCT(H69,J69)</f>
        <v/>
      </c>
    </row>
    <row r="70" hidden="1" s="201">
      <c r="A70" s="192" t="inlineStr">
        <is>
          <t>Чаща</t>
        </is>
      </c>
      <c r="B70" s="31" t="inlineStr">
        <is>
          <t>Тотем - Медведь</t>
        </is>
      </c>
      <c r="C70" s="86" t="inlineStr">
        <is>
          <t>IPA</t>
        </is>
      </c>
      <c r="D70" s="86" t="inlineStr">
        <is>
          <t>7,5 / 17 / 52</t>
        </is>
      </c>
      <c r="E70" s="60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0" s="86" t="inlineStr">
        <is>
          <t>ж/б 0.45 / 12</t>
        </is>
      </c>
      <c r="G70" s="86" t="inlineStr">
        <is>
          <t xml:space="preserve">12 мес. </t>
        </is>
      </c>
      <c r="H70" s="49" t="n">
        <v>249</v>
      </c>
      <c r="I70" s="93" t="inlineStr">
        <is>
          <t>много</t>
        </is>
      </c>
      <c r="J70" s="127" t="n">
        <v>1</v>
      </c>
      <c r="K70" s="127">
        <f>PRODUCT(H70,J70)</f>
        <v/>
      </c>
    </row>
    <row r="71" hidden="1" s="201">
      <c r="A71" s="192" t="inlineStr">
        <is>
          <t>Чаща</t>
        </is>
      </c>
      <c r="B71" s="31" t="inlineStr">
        <is>
          <t>Cambridge Music</t>
        </is>
      </c>
      <c r="C71" s="86" t="inlineStr">
        <is>
          <t>Session IPA</t>
        </is>
      </c>
      <c r="D71" s="86" t="inlineStr">
        <is>
          <t>3,5 / 9 / 37</t>
        </is>
      </c>
      <c r="E71" s="60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1" s="86" t="inlineStr">
        <is>
          <t>ж/б 0.45 / 12</t>
        </is>
      </c>
      <c r="G71" s="86" t="inlineStr">
        <is>
          <t xml:space="preserve">12 мес. </t>
        </is>
      </c>
      <c r="H71" s="49" t="n">
        <v>245</v>
      </c>
      <c r="I71" s="127" t="inlineStr">
        <is>
          <t>новинка</t>
        </is>
      </c>
      <c r="J71" s="127" t="n">
        <v>0</v>
      </c>
      <c r="K71" s="127">
        <f>PRODUCT(H71,J71)</f>
        <v/>
      </c>
    </row>
    <row r="72" hidden="1" s="201">
      <c r="A72" s="180" t="inlineStr">
        <is>
          <t>2 Barrels Brewery г. Санкт-Петербург</t>
        </is>
      </c>
      <c r="B72" s="204" t="n"/>
      <c r="C72" s="204" t="n"/>
      <c r="D72" s="204" t="n"/>
      <c r="E72" s="204" t="n"/>
      <c r="F72" s="204" t="n"/>
      <c r="G72" s="204" t="n"/>
      <c r="H72" s="204" t="n"/>
      <c r="I72" s="204" t="n"/>
      <c r="J72" s="90" t="n">
        <v>1</v>
      </c>
      <c r="K72" s="90" t="n"/>
    </row>
    <row r="73" hidden="1" s="201">
      <c r="A73" s="196" t="inlineStr">
        <is>
          <t>2 Barrels Brewery</t>
        </is>
      </c>
      <c r="B73" s="67" t="inlineStr">
        <is>
          <t>Банановые Мозги</t>
        </is>
      </c>
      <c r="C73" s="68" t="inlineStr">
        <is>
          <t>Hopfenweisse</t>
        </is>
      </c>
      <c r="D73" s="75" t="inlineStr">
        <is>
          <t>6 / 16 / 20</t>
        </is>
      </c>
      <c r="E73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3" s="86" t="inlineStr">
        <is>
          <t>ж/б 0.45 / 20</t>
        </is>
      </c>
      <c r="G73" s="86" t="inlineStr">
        <is>
          <t>12 мес.</t>
        </is>
      </c>
      <c r="H73" s="57" t="n">
        <v>229</v>
      </c>
      <c r="I73" s="127" t="inlineStr">
        <is>
          <t>новинка</t>
        </is>
      </c>
      <c r="J73" s="127" t="n">
        <v>1</v>
      </c>
      <c r="K73" s="127">
        <f>PRODUCT(H73,J73)</f>
        <v/>
      </c>
    </row>
    <row r="74" hidden="1" s="201">
      <c r="A74" s="196" t="inlineStr">
        <is>
          <t>2 Barrels Brewery</t>
        </is>
      </c>
      <c r="B74" s="67" t="inlineStr">
        <is>
          <t>Don Mazilic</t>
        </is>
      </c>
      <c r="C74" s="116" t="inlineStr">
        <is>
          <t>Imperial Sour Ale</t>
        </is>
      </c>
      <c r="D74" s="75" t="inlineStr">
        <is>
          <t>7 / 17,5 / 10</t>
        </is>
      </c>
      <c r="E74" s="98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4" s="86" t="inlineStr">
        <is>
          <t>ж/б 0.45 / 20</t>
        </is>
      </c>
      <c r="G74" s="86" t="inlineStr">
        <is>
          <t>12 мес.</t>
        </is>
      </c>
      <c r="H74" s="57" t="n">
        <v>269</v>
      </c>
      <c r="I74" s="92" t="inlineStr">
        <is>
          <t>много</t>
        </is>
      </c>
      <c r="J74" s="127" t="n">
        <v>1</v>
      </c>
      <c r="K74" s="127">
        <f>PRODUCT(H74,J74)</f>
        <v/>
      </c>
    </row>
    <row r="75" hidden="1" s="201">
      <c r="A75" s="196" t="inlineStr">
        <is>
          <t>2 Barrels Brewery</t>
        </is>
      </c>
      <c r="B75" s="67" t="inlineStr">
        <is>
          <t>Ipacalypse Now</t>
        </is>
      </c>
      <c r="C75" s="116" t="inlineStr">
        <is>
          <t>WC IPA</t>
        </is>
      </c>
      <c r="D75" s="75" t="inlineStr">
        <is>
          <t>6,5 / 16 / 50</t>
        </is>
      </c>
      <c r="E75" s="98" t="inlineStr">
        <is>
          <t>Сухой и уверенно горький west-coast IPA. Добротно охмелен Idaho7, Motueka, и Citra cryo.</t>
        </is>
      </c>
      <c r="F75" s="86" t="inlineStr">
        <is>
          <t>ж/б 0.45 / 20</t>
        </is>
      </c>
      <c r="G75" s="86" t="inlineStr">
        <is>
          <t>12 мес.</t>
        </is>
      </c>
      <c r="H75" s="57" t="n">
        <v>229</v>
      </c>
      <c r="I75" s="92" t="inlineStr">
        <is>
          <t>много</t>
        </is>
      </c>
      <c r="J75" s="127" t="n">
        <v>1</v>
      </c>
      <c r="K75" s="127">
        <f>PRODUCT(H75,J75)</f>
        <v/>
      </c>
    </row>
    <row r="76" hidden="1" s="201">
      <c r="A76" s="196" t="inlineStr">
        <is>
          <t>2 Barrels Brewery</t>
        </is>
      </c>
      <c r="B76" s="67" t="inlineStr">
        <is>
          <t>Staroparkala</t>
        </is>
      </c>
      <c r="C76" s="68" t="inlineStr">
        <is>
          <t>Pils</t>
        </is>
      </c>
      <c r="D76" s="75" t="inlineStr">
        <is>
          <t>5 / 12 / 30</t>
        </is>
      </c>
      <c r="E76" s="98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6" s="86" t="inlineStr">
        <is>
          <t>ж/б 0.45 / 20</t>
        </is>
      </c>
      <c r="G76" s="86" t="inlineStr">
        <is>
          <t>12 мес.</t>
        </is>
      </c>
      <c r="H76" s="57" t="n">
        <v>205</v>
      </c>
      <c r="I76" s="92" t="inlineStr">
        <is>
          <t>много</t>
        </is>
      </c>
      <c r="J76" s="127" t="n">
        <v>0</v>
      </c>
      <c r="K76" s="127">
        <f>PRODUCT(H76,J76)</f>
        <v/>
      </c>
    </row>
    <row r="77" hidden="1" s="201">
      <c r="A77" s="180" t="inlineStr">
        <is>
          <t>4 Brewers г. Владимир</t>
        </is>
      </c>
      <c r="B77" s="204" t="n"/>
      <c r="C77" s="204" t="n"/>
      <c r="D77" s="204" t="n"/>
      <c r="E77" s="204" t="n"/>
      <c r="F77" s="204" t="n"/>
      <c r="G77" s="204" t="n"/>
      <c r="H77" s="204" t="n"/>
      <c r="I77" s="204" t="n"/>
      <c r="J77" s="90" t="n">
        <v>1</v>
      </c>
      <c r="K77" s="90" t="n"/>
    </row>
    <row r="78" hidden="1" s="201">
      <c r="A78" s="157" t="inlineStr">
        <is>
          <t>4 Brewers</t>
        </is>
      </c>
      <c r="B78" s="32" t="inlineStr">
        <is>
          <t>Аддикция</t>
        </is>
      </c>
      <c r="C78" s="68" t="inlineStr">
        <is>
          <t>Crystal Tomato Gose</t>
        </is>
      </c>
      <c r="D78" s="75" t="inlineStr">
        <is>
          <t>6,5 / - / -</t>
        </is>
      </c>
      <c r="E78" s="98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78" s="86" t="inlineStr">
        <is>
          <t>ж/б 0.45 / 12</t>
        </is>
      </c>
      <c r="G78" s="116" t="inlineStr">
        <is>
          <t>12 мес.</t>
        </is>
      </c>
      <c r="H78" s="57" t="n">
        <v>235</v>
      </c>
      <c r="I78" s="92" t="inlineStr">
        <is>
          <t>много</t>
        </is>
      </c>
      <c r="J78" s="127" t="n">
        <v>1</v>
      </c>
      <c r="K78" s="127">
        <f>PRODUCT(H78,J78)</f>
        <v/>
      </c>
    </row>
    <row r="79" hidden="1" s="201">
      <c r="A79" s="157" t="inlineStr">
        <is>
          <t>4 Brewers</t>
        </is>
      </c>
      <c r="B79" s="72" t="inlineStr">
        <is>
          <t>Аджика Многолика</t>
        </is>
      </c>
      <c r="C79" s="75" t="inlineStr">
        <is>
          <t>Tomato Gose</t>
        </is>
      </c>
      <c r="D79" s="73" t="inlineStr">
        <is>
          <t>5 / - / -</t>
        </is>
      </c>
      <c r="E79" s="98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79" s="86" t="inlineStr">
        <is>
          <t>ж/б 0.45 / 12</t>
        </is>
      </c>
      <c r="G79" s="86" t="inlineStr">
        <is>
          <t>6 мес.</t>
        </is>
      </c>
      <c r="H79" s="57" t="n">
        <v>235</v>
      </c>
      <c r="I79" s="92" t="inlineStr">
        <is>
          <t>много</t>
        </is>
      </c>
      <c r="J79" s="127" t="n">
        <v>1</v>
      </c>
      <c r="K79" s="127">
        <f>PRODUCT(H79,J79)</f>
        <v/>
      </c>
    </row>
    <row r="80">
      <c r="A80" s="157" t="inlineStr">
        <is>
          <t>4 Brewers</t>
        </is>
      </c>
      <c r="B80" s="32" t="inlineStr">
        <is>
          <t>Вторая Личность</t>
        </is>
      </c>
      <c r="C80" s="75" t="inlineStr">
        <is>
          <t>Porter</t>
        </is>
      </c>
      <c r="D80" s="75" t="inlineStr">
        <is>
          <t>6,9 / 18 / 20</t>
        </is>
      </c>
      <c r="E80" s="98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0" s="86" t="inlineStr">
        <is>
          <t>ж/б 0.45 / 12</t>
        </is>
      </c>
      <c r="G80" s="86" t="inlineStr">
        <is>
          <t>6 мес.</t>
        </is>
      </c>
      <c r="H80" s="57" t="n">
        <v>205</v>
      </c>
      <c r="I80" s="92" t="inlineStr">
        <is>
          <t>много</t>
        </is>
      </c>
      <c r="J80" s="127" t="n">
        <v>1</v>
      </c>
      <c r="K80" s="127">
        <f>PRODUCT(H80,J80)</f>
        <v/>
      </c>
    </row>
    <row r="81" hidden="1" s="201">
      <c r="A81" s="157" t="inlineStr">
        <is>
          <t>4 Brewers</t>
        </is>
      </c>
      <c r="B81" s="67" t="inlineStr">
        <is>
          <t>Выгорание</t>
        </is>
      </c>
      <c r="C81" s="74" t="inlineStr">
        <is>
          <t>Berliner Weisse</t>
        </is>
      </c>
      <c r="D81" s="75" t="inlineStr">
        <is>
          <t>5 / 12 / -</t>
        </is>
      </c>
      <c r="E81" s="98" t="inlineStr">
        <is>
          <t>Лёгкий светлый эль. Умеренно кислый, с ярким вкусом и ароматом манго и апельсина.</t>
        </is>
      </c>
      <c r="F81" s="86" t="inlineStr">
        <is>
          <t>ж/б 0.45 / 12</t>
        </is>
      </c>
      <c r="G81" s="86" t="inlineStr">
        <is>
          <t>6 мес.</t>
        </is>
      </c>
      <c r="H81" s="57" t="n">
        <v>219</v>
      </c>
      <c r="I81" s="92" t="inlineStr">
        <is>
          <t>много</t>
        </is>
      </c>
      <c r="J81" s="127" t="n">
        <v>1</v>
      </c>
      <c r="K81" s="127">
        <f>PRODUCT(H81,J81)</f>
        <v/>
      </c>
    </row>
    <row r="82" hidden="1" s="201">
      <c r="A82" s="157" t="inlineStr">
        <is>
          <t>4 Brewers</t>
        </is>
      </c>
      <c r="B82" s="67" t="inlineStr">
        <is>
          <t>За Лисички Поясняем В Личке</t>
        </is>
      </c>
      <c r="C82" s="73" t="inlineStr">
        <is>
          <t>Gose</t>
        </is>
      </c>
      <c r="D82" s="75" t="inlineStr">
        <is>
          <t>5 / 14 / -</t>
        </is>
      </c>
      <c r="E82" s="98" t="inlineStr">
        <is>
          <t>Насыщенный светлый кислый эль. Яркий вкус поджарки из лисичек с выраженным, но ненавязчивым ароматом свежего укропа, чесночка и специй.</t>
        </is>
      </c>
      <c r="F82" s="86" t="inlineStr">
        <is>
          <t>ж/б 0.45 / 12</t>
        </is>
      </c>
      <c r="G82" s="86" t="inlineStr">
        <is>
          <t>6 мес.</t>
        </is>
      </c>
      <c r="H82" s="57" t="n">
        <v>219</v>
      </c>
      <c r="I82" s="127" t="inlineStr">
        <is>
          <t>новинка</t>
        </is>
      </c>
      <c r="J82" s="127" t="n">
        <v>1</v>
      </c>
      <c r="K82" s="127">
        <f>PRODUCT(H82,J82)</f>
        <v/>
      </c>
    </row>
    <row r="83" hidden="1" s="201">
      <c r="A83" s="192" t="inlineStr">
        <is>
          <t>4 Brewers</t>
        </is>
      </c>
      <c r="B83" s="31" t="inlineStr">
        <is>
          <t>Зависимость</t>
        </is>
      </c>
      <c r="C83" s="116" t="inlineStr">
        <is>
          <t>Tomato Gose</t>
        </is>
      </c>
      <c r="D83" s="116" t="inlineStr">
        <is>
          <t>5 / - / -</t>
        </is>
      </c>
      <c r="E83" s="82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3" s="86" t="inlineStr">
        <is>
          <t>ж/б 0.45 / 12</t>
        </is>
      </c>
      <c r="G83" s="116" t="inlineStr">
        <is>
          <t>12 мес.</t>
        </is>
      </c>
      <c r="H83" s="49" t="n">
        <v>205</v>
      </c>
      <c r="I83" s="92" t="inlineStr">
        <is>
          <t>много</t>
        </is>
      </c>
      <c r="J83" s="127" t="n">
        <v>1</v>
      </c>
      <c r="K83" s="127">
        <f>PRODUCT(H83,J83)</f>
        <v/>
      </c>
    </row>
    <row r="84" hidden="1" s="201">
      <c r="A84" s="192" t="inlineStr">
        <is>
          <t>4 Brewers</t>
        </is>
      </c>
      <c r="B84" s="26" t="inlineStr">
        <is>
          <t>Зависимость Базилик</t>
        </is>
      </c>
      <c r="C84" s="75" t="inlineStr">
        <is>
          <t>Tomato Gose</t>
        </is>
      </c>
      <c r="D84" s="75" t="inlineStr">
        <is>
          <t xml:space="preserve">4,5 / - / - </t>
        </is>
      </c>
      <c r="E84" s="98" t="inlineStr">
        <is>
          <t>Насыщенный светлый кислый эль. Сочный томатный вкус, чуть соли и яркий аромат свежего базилика.</t>
        </is>
      </c>
      <c r="F84" s="86" t="inlineStr">
        <is>
          <t>ж/б 0.45 / 12</t>
        </is>
      </c>
      <c r="G84" s="86" t="inlineStr">
        <is>
          <t>6 мес.</t>
        </is>
      </c>
      <c r="H84" s="57" t="n">
        <v>235</v>
      </c>
      <c r="I84" s="92" t="inlineStr">
        <is>
          <t>много</t>
        </is>
      </c>
      <c r="J84" s="127" t="n">
        <v>1</v>
      </c>
      <c r="K84" s="127">
        <f>PRODUCT(H84,J84)</f>
        <v/>
      </c>
    </row>
    <row r="85" hidden="1" s="201">
      <c r="A85" s="157" t="inlineStr">
        <is>
          <t>4 Brewers</t>
        </is>
      </c>
      <c r="B85" s="72" t="inlineStr">
        <is>
          <t>Зависимость Кинза</t>
        </is>
      </c>
      <c r="C85" s="75" t="inlineStr">
        <is>
          <t>Tomato Gose</t>
        </is>
      </c>
      <c r="D85" s="73" t="inlineStr">
        <is>
          <t>4,5 / - / -</t>
        </is>
      </c>
      <c r="E85" s="98" t="inlineStr">
        <is>
          <t>Насыщенный светлый кислый эль. Сочный томатный вкус, чуть соли и яркий аромат свежей кинзы.</t>
        </is>
      </c>
      <c r="F85" s="86" t="inlineStr">
        <is>
          <t>ж/б 0.45 / 12</t>
        </is>
      </c>
      <c r="G85" s="86" t="inlineStr">
        <is>
          <t>6 мес.</t>
        </is>
      </c>
      <c r="H85" s="57" t="n">
        <v>235</v>
      </c>
      <c r="I85" s="76" t="n">
        <v>10</v>
      </c>
      <c r="J85" s="127" t="n">
        <v>1</v>
      </c>
      <c r="K85" s="127">
        <f>PRODUCT(H85,J85)</f>
        <v/>
      </c>
    </row>
    <row r="86" hidden="1" s="201">
      <c r="A86" s="157" t="inlineStr">
        <is>
          <t>4 Brewers</t>
        </is>
      </c>
      <c r="B86" s="77" t="inlineStr">
        <is>
          <t>Зависимость Копченая</t>
        </is>
      </c>
      <c r="C86" s="75" t="inlineStr">
        <is>
          <t>Tomato Gose</t>
        </is>
      </c>
      <c r="D86" s="75" t="inlineStr">
        <is>
          <t>6,9 / - / -</t>
        </is>
      </c>
      <c r="E86" s="98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6" s="86" t="inlineStr">
        <is>
          <t>ж/б 0.45 / 12</t>
        </is>
      </c>
      <c r="G86" s="86" t="inlineStr">
        <is>
          <t>12 мес.</t>
        </is>
      </c>
      <c r="H86" s="57" t="n">
        <v>235</v>
      </c>
      <c r="I86" s="92" t="inlineStr">
        <is>
          <t>много</t>
        </is>
      </c>
      <c r="J86" s="127" t="n">
        <v>1</v>
      </c>
      <c r="K86" s="127">
        <f>PRODUCT(H86,J86)</f>
        <v/>
      </c>
    </row>
    <row r="87" hidden="1" s="201">
      <c r="A87" s="157" t="inlineStr">
        <is>
          <t>4 Brewers</t>
        </is>
      </c>
      <c r="B87" s="26" t="inlineStr">
        <is>
          <t>Зависимость Чёрный перец</t>
        </is>
      </c>
      <c r="C87" s="75" t="inlineStr">
        <is>
          <t>Tomato Gose</t>
        </is>
      </c>
      <c r="D87" s="75" t="inlineStr">
        <is>
          <t xml:space="preserve">6,9 / - / - </t>
        </is>
      </c>
      <c r="E87" s="98" t="inlineStr">
        <is>
          <t>Насыщенный светлый кислый эль. Сочный томатный вкус, чуть соли и яркий аромат чёрного перца.</t>
        </is>
      </c>
      <c r="F87" s="86" t="inlineStr">
        <is>
          <t>ж/б 0.45 / 12</t>
        </is>
      </c>
      <c r="G87" s="116" t="inlineStr">
        <is>
          <t>12 мес.</t>
        </is>
      </c>
      <c r="H87" s="57" t="n">
        <v>235</v>
      </c>
      <c r="I87" s="92" t="inlineStr">
        <is>
          <t>много</t>
        </is>
      </c>
      <c r="J87" s="127" t="n">
        <v>1</v>
      </c>
      <c r="K87" s="127">
        <f>PRODUCT(H87,J87)</f>
        <v/>
      </c>
    </row>
    <row r="88" hidden="1" s="201">
      <c r="A88" s="157" t="inlineStr">
        <is>
          <t>4 Brewers</t>
        </is>
      </c>
      <c r="B88" s="67" t="inlineStr">
        <is>
          <t>Кислота Grapefruit</t>
        </is>
      </c>
      <c r="C88" s="68" t="inlineStr">
        <is>
          <t>Sour Ale</t>
        </is>
      </c>
      <c r="D88" s="75" t="inlineStr">
        <is>
          <t>5 / - / -</t>
        </is>
      </c>
      <c r="E88" s="98" t="inlineStr">
        <is>
          <t>Насыщенный светлый эль. Выраженно кислый, немного сладкий, с ярким ароматом и вкусом сочного грейпфрута.</t>
        </is>
      </c>
      <c r="F88" s="86" t="inlineStr">
        <is>
          <t>ж/б 0.45 / 12</t>
        </is>
      </c>
      <c r="G88" s="86" t="inlineStr">
        <is>
          <t>12 мес.</t>
        </is>
      </c>
      <c r="H88" s="57" t="n">
        <v>235</v>
      </c>
      <c r="I88" s="76" t="n">
        <v>5</v>
      </c>
      <c r="J88" s="127" t="n">
        <v>1</v>
      </c>
      <c r="K88" s="127">
        <f>PRODUCT(H88,J88)</f>
        <v/>
      </c>
    </row>
    <row r="89" hidden="1" s="201">
      <c r="A89" s="157" t="inlineStr">
        <is>
          <t>4 Brewers</t>
        </is>
      </c>
      <c r="B89" s="67" t="inlineStr">
        <is>
          <t>Мачо Гаспачо</t>
        </is>
      </c>
      <c r="C89" s="73" t="inlineStr">
        <is>
          <t>Tomato Gose</t>
        </is>
      </c>
      <c r="D89" s="75" t="inlineStr">
        <is>
          <t>5 / 14 / -</t>
        </is>
      </c>
      <c r="E89" s="98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89" s="86" t="inlineStr">
        <is>
          <t>ж/б 0.45 / 12</t>
        </is>
      </c>
      <c r="G89" s="86" t="inlineStr">
        <is>
          <t>6 мес.</t>
        </is>
      </c>
      <c r="H89" s="57" t="n">
        <v>249</v>
      </c>
      <c r="I89" s="92" t="inlineStr">
        <is>
          <t>много</t>
        </is>
      </c>
      <c r="J89" s="127" t="n">
        <v>1</v>
      </c>
      <c r="K89" s="127">
        <f>PRODUCT(H89,J89)</f>
        <v/>
      </c>
    </row>
    <row r="90" hidden="1" s="201">
      <c r="A90" s="175" t="inlineStr">
        <is>
          <t>4 Brewers</t>
        </is>
      </c>
      <c r="B90" s="32" t="inlineStr">
        <is>
          <t>Не Кричи на Кимчи</t>
        </is>
      </c>
      <c r="C90" s="75" t="inlineStr">
        <is>
          <t>Tomato Gose</t>
        </is>
      </c>
      <c r="D90" s="75" t="inlineStr">
        <is>
          <t>5 / 12,5 / -</t>
        </is>
      </c>
      <c r="E90" s="98" t="inlineStr">
        <is>
          <t>Насыщенный светлый кислый эль. Сочный томатный вкус, чуть соли и яркий пряно-жгучий аромат кимчи.</t>
        </is>
      </c>
      <c r="F90" s="86" t="inlineStr">
        <is>
          <t>ж/б 0.45 / 12</t>
        </is>
      </c>
      <c r="G90" s="116" t="inlineStr">
        <is>
          <t>12 мес.</t>
        </is>
      </c>
      <c r="H90" s="57" t="n">
        <v>235</v>
      </c>
      <c r="I90" s="92" t="inlineStr">
        <is>
          <t>много</t>
        </is>
      </c>
      <c r="J90" s="127" t="n">
        <v>1</v>
      </c>
      <c r="K90" s="127">
        <f>PRODUCT(H90,J90)</f>
        <v/>
      </c>
    </row>
    <row r="91">
      <c r="A91" s="157" t="inlineStr">
        <is>
          <t>4 Brewers</t>
        </is>
      </c>
      <c r="B91" s="67" t="inlineStr">
        <is>
          <t>Нежность</t>
        </is>
      </c>
      <c r="C91" s="68" t="inlineStr">
        <is>
          <t>Sour Ale</t>
        </is>
      </c>
      <c r="D91" s="75" t="inlineStr">
        <is>
          <t>6 / - / -</t>
        </is>
      </c>
      <c r="E91" s="98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1" s="86" t="inlineStr">
        <is>
          <t>ж/б 0.45 / 12</t>
        </is>
      </c>
      <c r="G91" s="86" t="inlineStr">
        <is>
          <t>6 мес.</t>
        </is>
      </c>
      <c r="H91" s="57" t="n">
        <v>249</v>
      </c>
      <c r="I91" s="92" t="inlineStr">
        <is>
          <t>много</t>
        </is>
      </c>
      <c r="J91" s="127" t="n">
        <v>1</v>
      </c>
      <c r="K91" s="127">
        <f>PRODUCT(H91,J91)</f>
        <v/>
      </c>
    </row>
    <row r="92" hidden="1" s="201">
      <c r="A92" s="157" t="inlineStr">
        <is>
          <t>4 Brewers</t>
        </is>
      </c>
      <c r="B92" s="32" t="inlineStr">
        <is>
          <t>Рассол дико зол</t>
        </is>
      </c>
      <c r="C92" s="75" t="inlineStr">
        <is>
          <t>Vegetable Gose</t>
        </is>
      </c>
      <c r="D92" s="75" t="inlineStr">
        <is>
          <t>4,5 / 12 / -</t>
        </is>
      </c>
      <c r="E92" s="98" t="inlineStr">
        <is>
          <t>Насыщенный светлый кисло-солёный эль со вкусом и ароматом рассольных огурцов, томатов и специй.</t>
        </is>
      </c>
      <c r="F92" s="86" t="inlineStr">
        <is>
          <t>ж/б 0.45 / 12</t>
        </is>
      </c>
      <c r="G92" s="116" t="inlineStr">
        <is>
          <t>12 мес.</t>
        </is>
      </c>
      <c r="H92" s="57" t="n">
        <v>229</v>
      </c>
      <c r="I92" s="92" t="inlineStr">
        <is>
          <t>много</t>
        </is>
      </c>
      <c r="J92" s="127" t="n">
        <v>1</v>
      </c>
      <c r="K92" s="127">
        <f>PRODUCT(H92,J92)</f>
        <v/>
      </c>
    </row>
    <row r="93" hidden="1" ht="43.5" customHeight="1" s="201">
      <c r="A93" s="157" t="inlineStr">
        <is>
          <t>4 Brewers</t>
        </is>
      </c>
      <c r="B93" s="32" t="inlineStr">
        <is>
          <t>Стихия</t>
        </is>
      </c>
      <c r="C93" s="75" t="inlineStr">
        <is>
          <t>Sour Ale</t>
        </is>
      </c>
      <c r="D93" s="75" t="inlineStr">
        <is>
          <t>5 / 12 / -</t>
        </is>
      </c>
      <c r="E93" s="98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3" s="86" t="inlineStr">
        <is>
          <t>ж/б 0.45 / 12</t>
        </is>
      </c>
      <c r="G93" s="116" t="inlineStr">
        <is>
          <t>12 мес.</t>
        </is>
      </c>
      <c r="H93" s="57" t="n">
        <v>239</v>
      </c>
      <c r="I93" s="76" t="n">
        <v>1</v>
      </c>
      <c r="J93" s="127" t="n">
        <v>1</v>
      </c>
      <c r="K93" s="127">
        <f>PRODUCT(H93,J93)</f>
        <v/>
      </c>
    </row>
    <row r="94">
      <c r="A94" s="157" t="inlineStr">
        <is>
          <t>4 Brewers</t>
        </is>
      </c>
      <c r="B94" s="67" t="inlineStr">
        <is>
          <t>Супер-Эго</t>
        </is>
      </c>
      <c r="C94" s="74" t="inlineStr">
        <is>
          <t>Double Pastry Stout</t>
        </is>
      </c>
      <c r="D94" s="75" t="inlineStr">
        <is>
          <t>10 / 28 / -</t>
        </is>
      </c>
      <c r="E94" s="98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4" s="86" t="inlineStr">
        <is>
          <t>ж/б 0.33 / 12</t>
        </is>
      </c>
      <c r="G94" s="86" t="inlineStr">
        <is>
          <t>6 мес.</t>
        </is>
      </c>
      <c r="H94" s="57" t="n">
        <v>215</v>
      </c>
      <c r="I94" s="92" t="inlineStr">
        <is>
          <t>много</t>
        </is>
      </c>
      <c r="J94" s="127" t="n">
        <v>1</v>
      </c>
      <c r="K94" s="127">
        <f>PRODUCT(H94,J94)</f>
        <v/>
      </c>
    </row>
    <row r="95" hidden="1" s="201">
      <c r="A95" s="157" t="inlineStr">
        <is>
          <t>4 Brewers</t>
        </is>
      </c>
      <c r="B95" s="31" t="inlineStr">
        <is>
          <t>Том Ям Мастер Драм</t>
        </is>
      </c>
      <c r="C95" s="116" t="inlineStr">
        <is>
          <t>Gose</t>
        </is>
      </c>
      <c r="D95" s="116" t="inlineStr">
        <is>
          <t>5 / - / -</t>
        </is>
      </c>
      <c r="E95" s="82" t="inlineStr">
        <is>
          <t>Насыщенный светлый кислый эль. Немного соленый, пряный, с ярким ароматом и вкусом острого супа том ям.</t>
        </is>
      </c>
      <c r="F95" s="86" t="inlineStr">
        <is>
          <t>ж/б 0.45 / 12</t>
        </is>
      </c>
      <c r="G95" s="86" t="inlineStr">
        <is>
          <t>6 мес.</t>
        </is>
      </c>
      <c r="H95" s="49" t="n">
        <v>255</v>
      </c>
      <c r="I95" s="92" t="inlineStr">
        <is>
          <t>много</t>
        </is>
      </c>
      <c r="J95" s="127" t="n">
        <v>1</v>
      </c>
      <c r="K95" s="127">
        <f>PRODUCT(H95,J95)</f>
        <v/>
      </c>
    </row>
    <row r="96" hidden="1" s="201">
      <c r="A96" s="192" t="inlineStr">
        <is>
          <t>4 Brewers</t>
        </is>
      </c>
      <c r="B96" s="31" t="inlineStr">
        <is>
          <t>Чешская деситка</t>
        </is>
      </c>
      <c r="C96" s="18" t="inlineStr">
        <is>
          <t>Desitka</t>
        </is>
      </c>
      <c r="D96" s="116" t="inlineStr">
        <is>
          <t xml:space="preserve">4 / 10 / - </t>
        </is>
      </c>
      <c r="E96" s="82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6" s="86" t="inlineStr">
        <is>
          <t>ж/б 0.45 / 12</t>
        </is>
      </c>
      <c r="G96" s="116" t="inlineStr">
        <is>
          <t>12 мес.</t>
        </is>
      </c>
      <c r="H96" s="57" t="n">
        <v>175</v>
      </c>
      <c r="I96" s="76" t="n">
        <v>12</v>
      </c>
      <c r="J96" s="127" t="n">
        <v>1</v>
      </c>
      <c r="K96" s="127">
        <f>PRODUCT(H96,J96)</f>
        <v/>
      </c>
    </row>
    <row r="97" hidden="1" s="201">
      <c r="A97" s="157" t="inlineStr">
        <is>
          <t>4 Brewers</t>
        </is>
      </c>
      <c r="B97" s="67" t="inlineStr">
        <is>
          <t>Kiss My Soul</t>
        </is>
      </c>
      <c r="C97" s="68" t="inlineStr">
        <is>
          <t>NE DIPA</t>
        </is>
      </c>
      <c r="D97" s="75" t="inlineStr">
        <is>
          <t>7,5 / 20 / -</t>
        </is>
      </c>
      <c r="E97" s="98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7" s="86" t="inlineStr">
        <is>
          <t>ж/б 0.45 / 12</t>
        </is>
      </c>
      <c r="G97" s="75" t="inlineStr">
        <is>
          <t>9 мес.</t>
        </is>
      </c>
      <c r="H97" s="57" t="n">
        <v>245</v>
      </c>
      <c r="I97" s="92" t="inlineStr">
        <is>
          <t>много</t>
        </is>
      </c>
      <c r="J97" s="127" t="n">
        <v>1</v>
      </c>
      <c r="K97" s="127">
        <f>PRODUCT(H97,J97)</f>
        <v/>
      </c>
    </row>
    <row r="98" hidden="1" s="201">
      <c r="A98" s="157" t="inlineStr">
        <is>
          <t>4 Brewers</t>
        </is>
      </c>
      <c r="B98" s="67" t="inlineStr">
        <is>
          <t>Mein Konig</t>
        </is>
      </c>
      <c r="C98" s="68" t="inlineStr">
        <is>
          <t>Doppelbock</t>
        </is>
      </c>
      <c r="D98" s="75" t="inlineStr">
        <is>
          <t>7 / 18 / -</t>
        </is>
      </c>
      <c r="E98" s="98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98" s="86" t="inlineStr">
        <is>
          <t>ж/б 0.45 / 12</t>
        </is>
      </c>
      <c r="G98" s="75" t="inlineStr">
        <is>
          <t>18 мес.</t>
        </is>
      </c>
      <c r="H98" s="57" t="n">
        <v>189</v>
      </c>
      <c r="I98" s="92" t="inlineStr">
        <is>
          <t>много</t>
        </is>
      </c>
      <c r="J98" s="127" t="n">
        <v>1</v>
      </c>
      <c r="K98" s="127">
        <f>PRODUCT(H98,J98)</f>
        <v/>
      </c>
    </row>
    <row r="99" hidden="1" s="201">
      <c r="A99" s="157" t="inlineStr">
        <is>
          <t>4 Brewers</t>
        </is>
      </c>
      <c r="B99" s="77" t="inlineStr">
        <is>
          <t>Neuro Juice Banana Mango Guava Pineapple Passionfruit Orange</t>
        </is>
      </c>
      <c r="C99" s="116" t="inlineStr">
        <is>
          <t>Smoothie</t>
        </is>
      </c>
      <c r="D99" s="75" t="inlineStr">
        <is>
          <t>6 / 16 / -</t>
        </is>
      </c>
      <c r="E99" s="98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99" s="86" t="inlineStr">
        <is>
          <t>ж/б 0.45 / 12</t>
        </is>
      </c>
      <c r="G99" s="86" t="inlineStr">
        <is>
          <t>6 мес.</t>
        </is>
      </c>
      <c r="H99" s="57" t="n">
        <v>235</v>
      </c>
      <c r="I99" s="92" t="inlineStr">
        <is>
          <t>много</t>
        </is>
      </c>
      <c r="J99" s="127" t="n">
        <v>1</v>
      </c>
      <c r="K99" s="127">
        <f>PRODUCT(H99,J99)</f>
        <v/>
      </c>
    </row>
    <row r="100" hidden="1" s="201">
      <c r="A100" s="157" t="inlineStr">
        <is>
          <t>4 Brewers</t>
        </is>
      </c>
      <c r="B100" s="67" t="inlineStr">
        <is>
          <t>Neuro Juice Black Currant, Strawberry, Cranberry, Raspberry, Cherry, Cowberry</t>
        </is>
      </c>
      <c r="C100" s="116" t="inlineStr">
        <is>
          <t>Smoothie</t>
        </is>
      </c>
      <c r="D100" s="75" t="inlineStr">
        <is>
          <t>6 / 16 / -</t>
        </is>
      </c>
      <c r="E100" s="98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0" s="86" t="inlineStr">
        <is>
          <t>ж/б 0.45 / 12</t>
        </is>
      </c>
      <c r="G100" s="86" t="inlineStr">
        <is>
          <t>6 мес.</t>
        </is>
      </c>
      <c r="H100" s="57" t="n">
        <v>255</v>
      </c>
      <c r="I100" s="127" t="inlineStr">
        <is>
          <t>новинка</t>
        </is>
      </c>
      <c r="J100" s="127" t="n">
        <v>1</v>
      </c>
      <c r="K100" s="127">
        <f>PRODUCT(H100,J100)</f>
        <v/>
      </c>
    </row>
    <row r="101" hidden="1" s="201">
      <c r="A101" s="157" t="inlineStr">
        <is>
          <t>4 Brewers</t>
        </is>
      </c>
      <c r="B101" s="67" t="inlineStr">
        <is>
          <t>Neuro Juice Mango, Passionfruit</t>
        </is>
      </c>
      <c r="C101" s="116" t="inlineStr">
        <is>
          <t>Smoothie</t>
        </is>
      </c>
      <c r="D101" s="75" t="inlineStr">
        <is>
          <t>6 / 16 / -</t>
        </is>
      </c>
      <c r="E101" s="98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1" s="86" t="inlineStr">
        <is>
          <t>ж/б 0.45 / 12</t>
        </is>
      </c>
      <c r="G101" s="86" t="inlineStr">
        <is>
          <t>6 мес.</t>
        </is>
      </c>
      <c r="H101" s="57" t="n">
        <v>235</v>
      </c>
      <c r="I101" s="92" t="inlineStr">
        <is>
          <t>много</t>
        </is>
      </c>
      <c r="J101" s="127" t="n">
        <v>1</v>
      </c>
      <c r="K101" s="127">
        <f>PRODUCT(H101,J101)</f>
        <v/>
      </c>
    </row>
    <row r="102" hidden="1" s="201">
      <c r="A102" s="157" t="inlineStr">
        <is>
          <t>4 Brewers</t>
        </is>
      </c>
      <c r="B102" s="67" t="inlineStr">
        <is>
          <t>Neuro Juice Orange Pulp, Mango, Pineapple</t>
        </is>
      </c>
      <c r="C102" s="116" t="inlineStr">
        <is>
          <t>Smoothie</t>
        </is>
      </c>
      <c r="D102" s="75" t="inlineStr">
        <is>
          <t>6 / 16 / -</t>
        </is>
      </c>
      <c r="E102" s="98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2" s="86" t="inlineStr">
        <is>
          <t>ж/б 0.45 / 12</t>
        </is>
      </c>
      <c r="G102" s="86" t="inlineStr">
        <is>
          <t>6 мес.</t>
        </is>
      </c>
      <c r="H102" s="57" t="n">
        <v>235</v>
      </c>
      <c r="I102" s="92" t="inlineStr">
        <is>
          <t>много</t>
        </is>
      </c>
      <c r="J102" s="127" t="n">
        <v>1</v>
      </c>
      <c r="K102" s="127">
        <f>PRODUCT(H102,J102)</f>
        <v/>
      </c>
    </row>
    <row r="103" hidden="1" ht="35.25" customHeight="1" s="201">
      <c r="A103" s="157" t="inlineStr">
        <is>
          <t>4 Brewers</t>
        </is>
      </c>
      <c r="B103" s="32" t="inlineStr">
        <is>
          <t>Potato Day</t>
        </is>
      </c>
      <c r="C103" s="75" t="inlineStr">
        <is>
          <t>Sour Ale</t>
        </is>
      </c>
      <c r="D103" s="75" t="inlineStr">
        <is>
          <t>4,5 / - / -</t>
        </is>
      </c>
      <c r="E103" s="98" t="inlineStr">
        <is>
          <t>Лёгкий освежающий кисло-солёный эль со вкусом и ароматом натуральных картофельных чипсов.</t>
        </is>
      </c>
      <c r="F103" s="86" t="inlineStr">
        <is>
          <t>ж/б 0.45 / 12</t>
        </is>
      </c>
      <c r="G103" s="116" t="inlineStr">
        <is>
          <t>12 мес.</t>
        </is>
      </c>
      <c r="H103" s="57" t="n">
        <v>265</v>
      </c>
      <c r="I103" s="92" t="inlineStr">
        <is>
          <t>много</t>
        </is>
      </c>
      <c r="J103" s="127" t="n">
        <v>1</v>
      </c>
      <c r="K103" s="127">
        <f>PRODUCT(H103,J103)</f>
        <v/>
      </c>
    </row>
    <row r="104" hidden="1" s="201">
      <c r="A104" s="157" t="inlineStr">
        <is>
          <t>4 Brewers</t>
        </is>
      </c>
      <c r="B104" s="32" t="inlineStr">
        <is>
          <t>Santa Muerte</t>
        </is>
      </c>
      <c r="C104" s="75" t="inlineStr">
        <is>
          <t>Stout</t>
        </is>
      </c>
      <c r="D104" s="75" t="inlineStr">
        <is>
          <t>6,5 / 16 / 35</t>
        </is>
      </c>
      <c r="E104" s="98" t="inlineStr">
        <is>
          <t>Кофейный стаут – темный эль, сухой, насыщенный, с ярким вкусом и ароматом кофе и прожаренного солода.</t>
        </is>
      </c>
      <c r="F104" s="86" t="inlineStr">
        <is>
          <t>ж/б 0.45 / 12</t>
        </is>
      </c>
      <c r="G104" s="86" t="inlineStr">
        <is>
          <t>6 мес.</t>
        </is>
      </c>
      <c r="H104" s="57" t="n">
        <v>189</v>
      </c>
      <c r="I104" s="92" t="inlineStr">
        <is>
          <t>много</t>
        </is>
      </c>
      <c r="J104" s="127" t="n">
        <v>1</v>
      </c>
      <c r="K104" s="127">
        <f>PRODUCT(H104,J104)</f>
        <v/>
      </c>
    </row>
    <row r="105">
      <c r="A105" s="157" t="inlineStr">
        <is>
          <t>4 Brewers</t>
        </is>
      </c>
      <c r="B105" s="26" t="inlineStr">
        <is>
          <t>Turn Pineapple</t>
        </is>
      </c>
      <c r="C105" s="75" t="inlineStr">
        <is>
          <t>Berliner Weisse</t>
        </is>
      </c>
      <c r="D105" s="75" t="inlineStr">
        <is>
          <t>5 / 12 / -</t>
        </is>
      </c>
      <c r="E105" s="98" t="inlineStr">
        <is>
          <t>Лёгкий светлый эль. Умеренно кислый, с ярким вкусом и ароматом ананаса.</t>
        </is>
      </c>
      <c r="F105" s="86" t="inlineStr">
        <is>
          <t>ж/б 0.5 / 12</t>
        </is>
      </c>
      <c r="G105" s="86" t="inlineStr">
        <is>
          <t>6 мес.</t>
        </is>
      </c>
      <c r="H105" s="57" t="n">
        <v>205</v>
      </c>
      <c r="I105" s="92" t="inlineStr">
        <is>
          <t>много</t>
        </is>
      </c>
      <c r="J105" s="127" t="n">
        <v>0</v>
      </c>
      <c r="K105" s="127">
        <f>PRODUCT(H105,J105)</f>
        <v/>
      </c>
    </row>
    <row r="106" hidden="1" s="201">
      <c r="A106" s="90" t="inlineStr">
        <is>
          <t>Atmosphere Brewery г. Клин</t>
        </is>
      </c>
      <c r="B106" s="202" t="n"/>
      <c r="C106" s="202" t="n"/>
      <c r="D106" s="202" t="n"/>
      <c r="E106" s="202" t="n"/>
      <c r="F106" s="202" t="n"/>
      <c r="G106" s="202" t="n"/>
      <c r="H106" s="202" t="n"/>
      <c r="I106" s="203" t="n"/>
      <c r="J106" s="90" t="n">
        <v>1</v>
      </c>
      <c r="K106" s="90" t="n"/>
    </row>
    <row r="107">
      <c r="A107" s="192" t="inlineStr">
        <is>
          <t>Atmosphere Brewery</t>
        </is>
      </c>
      <c r="B107" s="31" t="inlineStr">
        <is>
          <t>Аномалия</t>
        </is>
      </c>
      <c r="C107" s="116" t="inlineStr">
        <is>
          <t>Porter</t>
        </is>
      </c>
      <c r="D107" s="116" t="inlineStr">
        <is>
          <t>8 /21 / 30</t>
        </is>
      </c>
      <c r="E107" s="82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7" s="86" t="inlineStr">
        <is>
          <t>ж/б 0.5 / 20</t>
        </is>
      </c>
      <c r="G107" s="116" t="inlineStr">
        <is>
          <t>12 мес.</t>
        </is>
      </c>
      <c r="H107" s="49" t="n">
        <v>199</v>
      </c>
      <c r="I107" s="92" t="inlineStr">
        <is>
          <t>много</t>
        </is>
      </c>
      <c r="J107" s="127" t="n">
        <v>1</v>
      </c>
      <c r="K107" s="127">
        <f>PRODUCT(H107,J107)</f>
        <v/>
      </c>
    </row>
    <row r="108" hidden="1" s="201">
      <c r="A108" s="192" t="inlineStr">
        <is>
          <t>Atmosphere Brewery</t>
        </is>
      </c>
      <c r="B108" s="31" t="inlineStr">
        <is>
          <t>Дела Ламы</t>
        </is>
      </c>
      <c r="C108" s="79" t="inlineStr">
        <is>
          <t>Berliner Weisse</t>
        </is>
      </c>
      <c r="D108" s="79" t="inlineStr">
        <is>
          <t>5,5 / 11 / -</t>
        </is>
      </c>
      <c r="E108" s="188" t="inlineStr">
        <is>
          <t>Освежающее пшеничное кислое пиво с добавлением немецких хмелей и пюре ананаса и лемонграсса.</t>
        </is>
      </c>
      <c r="F108" s="62" t="inlineStr">
        <is>
          <t>ж/б 0.45 / 20</t>
        </is>
      </c>
      <c r="G108" s="79" t="inlineStr">
        <is>
          <t>12 мес.</t>
        </is>
      </c>
      <c r="H108" s="52" t="n">
        <v>199</v>
      </c>
      <c r="I108" s="93" t="inlineStr">
        <is>
          <t>много</t>
        </is>
      </c>
      <c r="J108" s="127" t="n">
        <v>1</v>
      </c>
      <c r="K108" s="127">
        <f>PRODUCT(H108,J108)</f>
        <v/>
      </c>
    </row>
    <row r="109" hidden="1" s="201">
      <c r="A109" s="192" t="inlineStr">
        <is>
          <t>Atmosphere Brewery</t>
        </is>
      </c>
      <c r="B109" s="31" t="inlineStr">
        <is>
          <t>Кислый движ</t>
        </is>
      </c>
      <c r="C109" s="116" t="inlineStr">
        <is>
          <t>Sour Ale</t>
        </is>
      </c>
      <c r="D109" s="116" t="inlineStr">
        <is>
          <t>6,5 / 20 / -</t>
        </is>
      </c>
      <c r="E109" s="82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09" s="86" t="inlineStr">
        <is>
          <t>ж/б 0.45 / 20</t>
        </is>
      </c>
      <c r="G109" s="116" t="inlineStr">
        <is>
          <t>12 мес.</t>
        </is>
      </c>
      <c r="H109" s="49" t="n">
        <v>195</v>
      </c>
      <c r="I109" s="48" t="n">
        <v>3</v>
      </c>
      <c r="J109" s="127" t="n">
        <v>1</v>
      </c>
      <c r="K109" s="127">
        <f>PRODUCT(H109,J109)</f>
        <v/>
      </c>
    </row>
    <row r="110" hidden="1" s="201">
      <c r="A110" s="192" t="inlineStr">
        <is>
          <t>Atmosphere Brewery</t>
        </is>
      </c>
      <c r="B110" s="17" t="inlineStr">
        <is>
          <t>Летний вайб Малина</t>
        </is>
      </c>
      <c r="C110" s="116" t="inlineStr">
        <is>
          <t>Berliner Weisse</t>
        </is>
      </c>
      <c r="D110" s="116" t="inlineStr">
        <is>
          <t>5,5 / 13 / -</t>
        </is>
      </c>
      <c r="E110" s="82" t="inlineStr">
        <is>
          <t>Освежающее пшеничное кислое пиво с добавлением немецких хмелей и сока  малины.</t>
        </is>
      </c>
      <c r="F110" s="86" t="inlineStr">
        <is>
          <t>ж/б 0.45 / 20</t>
        </is>
      </c>
      <c r="G110" s="116" t="inlineStr">
        <is>
          <t>12 мес.</t>
        </is>
      </c>
      <c r="H110" s="49" t="n">
        <v>195</v>
      </c>
      <c r="I110" s="93" t="inlineStr">
        <is>
          <t>много</t>
        </is>
      </c>
      <c r="J110" s="127" t="n">
        <v>1</v>
      </c>
      <c r="K110" s="127">
        <f>PRODUCT(H110,J110)</f>
        <v/>
      </c>
    </row>
    <row r="111" hidden="1" s="201">
      <c r="A111" s="192" t="inlineStr">
        <is>
          <t>Atmosphere Brewery</t>
        </is>
      </c>
      <c r="B111" s="17" t="inlineStr">
        <is>
          <t>Летний вайб Черная смородина</t>
        </is>
      </c>
      <c r="C111" s="79" t="inlineStr">
        <is>
          <t>Berliner Weisse</t>
        </is>
      </c>
      <c r="D111" s="79" t="inlineStr">
        <is>
          <t>5,5 / 13 / -</t>
        </is>
      </c>
      <c r="E111" s="188" t="inlineStr">
        <is>
          <t>Освежающее пшеничное кислое пиво с добавлением немецких хмелей и пюре черной смородины.</t>
        </is>
      </c>
      <c r="F111" s="62" t="inlineStr">
        <is>
          <t>ж/б 0.45 / 20</t>
        </is>
      </c>
      <c r="G111" s="79" t="inlineStr">
        <is>
          <t>12 мес.</t>
        </is>
      </c>
      <c r="H111" s="52" t="n">
        <v>195</v>
      </c>
      <c r="I111" s="93" t="inlineStr">
        <is>
          <t>много</t>
        </is>
      </c>
      <c r="J111" s="127" t="n">
        <v>1</v>
      </c>
      <c r="K111" s="127">
        <f>PRODUCT(H111,J111)</f>
        <v/>
      </c>
    </row>
    <row r="112" hidden="1" s="201">
      <c r="A112" s="192" t="inlineStr">
        <is>
          <t>Atmosphere Brewery</t>
        </is>
      </c>
      <c r="B112" s="17" t="inlineStr">
        <is>
          <t>На десерт Банан, Клубника, Ваниль</t>
        </is>
      </c>
      <c r="C112" s="79" t="inlineStr">
        <is>
          <t>Sour Ale</t>
        </is>
      </c>
      <c r="D112" s="79" t="inlineStr">
        <is>
          <t>6 / 21 / -</t>
        </is>
      </c>
      <c r="E112" s="18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2" s="62" t="inlineStr">
        <is>
          <t>ж/б 0.45 / 20</t>
        </is>
      </c>
      <c r="G112" s="79" t="inlineStr">
        <is>
          <t>12 мес.</t>
        </is>
      </c>
      <c r="H112" s="52" t="n">
        <v>215</v>
      </c>
      <c r="I112" s="93" t="inlineStr">
        <is>
          <t>много</t>
        </is>
      </c>
      <c r="J112" s="127" t="n">
        <v>1</v>
      </c>
      <c r="K112" s="127">
        <f>PRODUCT(H112,J112)</f>
        <v/>
      </c>
    </row>
    <row r="113" hidden="1" s="201">
      <c r="A113" s="192" t="inlineStr">
        <is>
          <t>Atmosphere Brewery</t>
        </is>
      </c>
      <c r="B113" s="28" t="inlineStr">
        <is>
          <t>На десерт Банан, Красный апельсин, Миндаль, Ваниль)</t>
        </is>
      </c>
      <c r="C113" s="116" t="inlineStr">
        <is>
          <t>Smoothie</t>
        </is>
      </c>
      <c r="D113" s="116" t="inlineStr">
        <is>
          <t xml:space="preserve">6 / 21 / - </t>
        </is>
      </c>
      <c r="E113" s="82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3" s="86" t="inlineStr">
        <is>
          <t>ж/б 0.5 / 20</t>
        </is>
      </c>
      <c r="G113" s="116" t="inlineStr">
        <is>
          <t>12 мес.</t>
        </is>
      </c>
      <c r="H113" s="49" t="n">
        <v>219</v>
      </c>
      <c r="I113" s="76" t="n">
        <v>9</v>
      </c>
      <c r="J113" s="127" t="n">
        <v>1</v>
      </c>
      <c r="K113" s="127">
        <f>PRODUCT(H113,J113)</f>
        <v/>
      </c>
    </row>
    <row r="114" hidden="1" s="201">
      <c r="A114" s="192" t="inlineStr">
        <is>
          <t>Atmosphere Brewery</t>
        </is>
      </c>
      <c r="B114" s="17" t="inlineStr">
        <is>
          <t>На Десерт Вишневый пирог</t>
        </is>
      </c>
      <c r="C114" s="79" t="inlineStr">
        <is>
          <t>Sour Ale</t>
        </is>
      </c>
      <c r="D114" s="79" t="inlineStr">
        <is>
          <t>6 / 21 / -</t>
        </is>
      </c>
      <c r="E114" s="18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4" s="62" t="inlineStr">
        <is>
          <t>ж/б 0.45 / 20</t>
        </is>
      </c>
      <c r="G114" s="79" t="inlineStr">
        <is>
          <t>12 мес.</t>
        </is>
      </c>
      <c r="H114" s="52" t="n">
        <v>215</v>
      </c>
      <c r="I114" s="93" t="inlineStr">
        <is>
          <t>много</t>
        </is>
      </c>
      <c r="J114" s="127" t="n">
        <v>1</v>
      </c>
      <c r="K114" s="127">
        <f>PRODUCT(H114,J114)</f>
        <v/>
      </c>
    </row>
    <row r="115" hidden="1" s="201">
      <c r="A115" s="192" t="inlineStr">
        <is>
          <t>Atmosphere Brewery</t>
        </is>
      </c>
      <c r="B115" s="28" t="inlineStr">
        <is>
          <t>На десерт Яблоко Корица Печенье</t>
        </is>
      </c>
      <c r="C115" s="116" t="inlineStr">
        <is>
          <t>Smoothie</t>
        </is>
      </c>
      <c r="D115" s="116" t="inlineStr">
        <is>
          <t xml:space="preserve">6 / 21 / - </t>
        </is>
      </c>
      <c r="E115" s="82" t="inlineStr">
        <is>
          <t>Десертный кислый эль, сваренный с добавлением пюре яблок, корицы и песочного сливочного печенья.</t>
        </is>
      </c>
      <c r="F115" s="86" t="inlineStr">
        <is>
          <t>ж/б 0.5 / 20</t>
        </is>
      </c>
      <c r="G115" s="116" t="inlineStr">
        <is>
          <t>12 мес.</t>
        </is>
      </c>
      <c r="H115" s="49" t="n">
        <v>209</v>
      </c>
      <c r="I115" s="92" t="inlineStr">
        <is>
          <t>много</t>
        </is>
      </c>
      <c r="J115" s="127" t="n">
        <v>1</v>
      </c>
      <c r="K115" s="127">
        <f>PRODUCT(H115,J115)</f>
        <v/>
      </c>
    </row>
    <row r="116">
      <c r="A116" s="192" t="inlineStr">
        <is>
          <t>Atmosphere Brewery</t>
        </is>
      </c>
      <c r="B116" s="31" t="inlineStr">
        <is>
          <t>Психоделический Трип</t>
        </is>
      </c>
      <c r="C116" s="79" t="inlineStr">
        <is>
          <t>Porter</t>
        </is>
      </c>
      <c r="D116" s="79" t="inlineStr">
        <is>
          <t>6,9 / 21 / 30</t>
        </is>
      </c>
      <c r="E116" s="188" t="inlineStr">
        <is>
          <t>Классический крепкий портер с добавлением соленой карамели.</t>
        </is>
      </c>
      <c r="F116" s="62" t="inlineStr">
        <is>
          <t>ж/б 0.45 / 20</t>
        </is>
      </c>
      <c r="G116" s="79" t="inlineStr">
        <is>
          <t>12 мес.</t>
        </is>
      </c>
      <c r="H116" s="52" t="n">
        <v>205</v>
      </c>
      <c r="I116" s="93" t="inlineStr">
        <is>
          <t>много</t>
        </is>
      </c>
      <c r="J116" s="127" t="n">
        <v>1</v>
      </c>
      <c r="K116" s="127">
        <f>PRODUCT(H116,J116)</f>
        <v/>
      </c>
    </row>
    <row r="117" hidden="1" s="201">
      <c r="A117" s="192" t="inlineStr">
        <is>
          <t>Atmosphere Brewery</t>
        </is>
      </c>
      <c r="B117" s="17" t="inlineStr">
        <is>
          <t>Пылающая Дичь</t>
        </is>
      </c>
      <c r="C117" s="79" t="inlineStr">
        <is>
          <t>Tomato Gose</t>
        </is>
      </c>
      <c r="D117" s="79" t="inlineStr">
        <is>
          <t>6,9 / 17 / 10</t>
        </is>
      </c>
      <c r="E117" s="81" t="inlineStr">
        <is>
          <t>Extra Hot Tomato Imperial Gose с добавлением соуса Tabasco и перца Carolina Reaper.</t>
        </is>
      </c>
      <c r="F117" s="62" t="inlineStr">
        <is>
          <t>ж/б 0.33 / 20</t>
        </is>
      </c>
      <c r="G117" s="79" t="inlineStr">
        <is>
          <t>12 мес.</t>
        </is>
      </c>
      <c r="H117" s="52" t="n">
        <v>179</v>
      </c>
      <c r="I117" s="93" t="inlineStr">
        <is>
          <t>много</t>
        </is>
      </c>
      <c r="J117" s="127" t="n">
        <v>1</v>
      </c>
      <c r="K117" s="127">
        <f>PRODUCT(H117,J117)</f>
        <v/>
      </c>
    </row>
    <row r="118" hidden="1" s="201">
      <c r="A118" s="192" t="inlineStr">
        <is>
          <t>Atmosphere Brewery</t>
        </is>
      </c>
      <c r="B118" s="31" t="inlineStr">
        <is>
          <t>Томатная Дичь</t>
        </is>
      </c>
      <c r="C118" s="116" t="inlineStr">
        <is>
          <t>Tomato Gose</t>
        </is>
      </c>
      <c r="D118" s="116" t="inlineStr">
        <is>
          <t>6,5 / 16 / 10</t>
        </is>
      </c>
      <c r="E118" s="82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18" s="86" t="inlineStr">
        <is>
          <t>ж/б 0.45 / 20</t>
        </is>
      </c>
      <c r="G118" s="116" t="inlineStr">
        <is>
          <t>12 мес.</t>
        </is>
      </c>
      <c r="H118" s="49" t="n">
        <v>189</v>
      </c>
      <c r="I118" s="92" t="inlineStr">
        <is>
          <t>много</t>
        </is>
      </c>
      <c r="J118" s="127" t="n">
        <v>1</v>
      </c>
      <c r="K118" s="127">
        <f>PRODUCT(H118,J118)</f>
        <v/>
      </c>
    </row>
    <row r="119" hidden="1" s="201">
      <c r="A119" s="192" t="inlineStr">
        <is>
          <t>Atmosphere Brewery</t>
        </is>
      </c>
      <c r="B119" s="17" t="inlineStr">
        <is>
          <t>Томатная дичь Карри</t>
        </is>
      </c>
      <c r="C119" s="116" t="inlineStr">
        <is>
          <t>Tomato Gose</t>
        </is>
      </c>
      <c r="D119" s="116" t="inlineStr">
        <is>
          <t>6,5 / 16</t>
        </is>
      </c>
      <c r="E119" s="82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19" s="86" t="inlineStr">
        <is>
          <t>ж/б 0.45 / 20</t>
        </is>
      </c>
      <c r="G119" s="116" t="inlineStr">
        <is>
          <t>12 мес.</t>
        </is>
      </c>
      <c r="H119" s="49" t="n">
        <v>205</v>
      </c>
      <c r="I119" s="93" t="inlineStr">
        <is>
          <t>много</t>
        </is>
      </c>
      <c r="J119" s="127" t="n">
        <v>1</v>
      </c>
      <c r="K119" s="127">
        <f>PRODUCT(H119,J119)</f>
        <v/>
      </c>
    </row>
    <row r="120" hidden="1" s="201">
      <c r="A120" s="192" t="inlineStr">
        <is>
          <t>Atmosphere Brewery</t>
        </is>
      </c>
      <c r="B120" s="17" t="inlineStr">
        <is>
          <t>Томатная Дичь Кимчи</t>
        </is>
      </c>
      <c r="C120" s="79" t="inlineStr">
        <is>
          <t>Tomato Gose</t>
        </is>
      </c>
      <c r="D120" s="79" t="inlineStr">
        <is>
          <t>6,5 / 16 / -</t>
        </is>
      </c>
      <c r="E120" s="81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0" s="62" t="inlineStr">
        <is>
          <t>ж/б 0.45 / 20</t>
        </is>
      </c>
      <c r="G120" s="79" t="inlineStr">
        <is>
          <t>12 мес.</t>
        </is>
      </c>
      <c r="H120" s="52" t="n">
        <v>189</v>
      </c>
      <c r="I120" s="93" t="inlineStr">
        <is>
          <t>много</t>
        </is>
      </c>
      <c r="J120" s="127" t="n">
        <v>1</v>
      </c>
      <c r="K120" s="127">
        <f>PRODUCT(H120,J120)</f>
        <v/>
      </c>
    </row>
    <row r="121" hidden="1" s="201">
      <c r="A121" s="192" t="inlineStr">
        <is>
          <t>Atmosphere Brewery</t>
        </is>
      </c>
      <c r="B121" s="17" t="inlineStr">
        <is>
          <t>Томатная дичь Копченая</t>
        </is>
      </c>
      <c r="C121" s="79" t="inlineStr">
        <is>
          <t>Tomato Gose</t>
        </is>
      </c>
      <c r="D121" s="79" t="inlineStr">
        <is>
          <t>6,5 / 16 / -</t>
        </is>
      </c>
      <c r="E121" s="81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1" s="62" t="inlineStr">
        <is>
          <t>ж/б 0.45 / 20</t>
        </is>
      </c>
      <c r="G121" s="79" t="inlineStr">
        <is>
          <t>12 мес.</t>
        </is>
      </c>
      <c r="H121" s="52" t="n">
        <v>189</v>
      </c>
      <c r="I121" s="93" t="inlineStr">
        <is>
          <t>много</t>
        </is>
      </c>
      <c r="J121" s="127" t="n">
        <v>1</v>
      </c>
      <c r="K121" s="127">
        <f>PRODUCT(H121,J121)</f>
        <v/>
      </c>
    </row>
    <row r="122" hidden="1" s="201">
      <c r="A122" s="192" t="inlineStr">
        <is>
          <t>Atmosphere Brewery</t>
        </is>
      </c>
      <c r="B122" s="17" t="inlineStr">
        <is>
          <t>Томатная Дичь Мичелада</t>
        </is>
      </c>
      <c r="C122" s="79" t="inlineStr">
        <is>
          <t>Tomato Gose</t>
        </is>
      </c>
      <c r="D122" s="79" t="inlineStr">
        <is>
          <t>6,5 / 16 / -</t>
        </is>
      </c>
      <c r="E122" s="81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2" s="62" t="inlineStr">
        <is>
          <t>ж/б 0.45 / 20</t>
        </is>
      </c>
      <c r="G122" s="79" t="inlineStr">
        <is>
          <t>12 мес.</t>
        </is>
      </c>
      <c r="H122" s="52" t="n">
        <v>189</v>
      </c>
      <c r="I122" s="93" t="inlineStr">
        <is>
          <t>много</t>
        </is>
      </c>
      <c r="J122" s="127" t="n">
        <v>1</v>
      </c>
      <c r="K122" s="127">
        <f>PRODUCT(H122,J122)</f>
        <v/>
      </c>
    </row>
    <row r="123" hidden="1" s="201">
      <c r="A123" s="192" t="inlineStr">
        <is>
          <t>Atmosphere Brewery</t>
        </is>
      </c>
      <c r="B123" s="17" t="inlineStr">
        <is>
          <t>Томатная дичь Мостарда</t>
        </is>
      </c>
      <c r="C123" s="116" t="inlineStr">
        <is>
          <t>Tomato Gose</t>
        </is>
      </c>
      <c r="D123" s="116" t="inlineStr">
        <is>
          <t>6,5 / 16 / -</t>
        </is>
      </c>
      <c r="E123" s="82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3" s="86" t="inlineStr">
        <is>
          <t>ж/б 0.45 / 20</t>
        </is>
      </c>
      <c r="G123" s="116" t="inlineStr">
        <is>
          <t>12 мес.</t>
        </is>
      </c>
      <c r="H123" s="49" t="n">
        <v>205</v>
      </c>
      <c r="I123" s="93" t="inlineStr">
        <is>
          <t>много</t>
        </is>
      </c>
      <c r="J123" s="127" t="n">
        <v>1</v>
      </c>
      <c r="K123" s="127">
        <f>PRODUCT(H123,J123)</f>
        <v/>
      </c>
    </row>
    <row r="124" hidden="1" s="201">
      <c r="A124" s="192" t="inlineStr">
        <is>
          <t>Atmosphere Brewery</t>
        </is>
      </c>
      <c r="B124" s="17" t="inlineStr">
        <is>
          <t>Томатная Дичь Острая</t>
        </is>
      </c>
      <c r="C124" s="79" t="inlineStr">
        <is>
          <t>Tomato Gose</t>
        </is>
      </c>
      <c r="D124" s="79" t="inlineStr">
        <is>
          <t>6,5 / 16 / 10</t>
        </is>
      </c>
      <c r="E124" s="81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4" s="62" t="inlineStr">
        <is>
          <t>ж/б 0.45 / 20</t>
        </is>
      </c>
      <c r="G124" s="79" t="inlineStr">
        <is>
          <t>12 мес.</t>
        </is>
      </c>
      <c r="H124" s="52" t="n">
        <v>189</v>
      </c>
      <c r="I124" s="93" t="inlineStr">
        <is>
          <t>много</t>
        </is>
      </c>
      <c r="J124" s="127" t="n">
        <v>1</v>
      </c>
      <c r="K124" s="127">
        <f>PRODUCT(H124,J124)</f>
        <v/>
      </c>
    </row>
    <row r="125" hidden="1" s="201">
      <c r="A125" s="192" t="inlineStr">
        <is>
          <t>Atmosphere Brewery</t>
        </is>
      </c>
      <c r="B125" s="17" t="inlineStr">
        <is>
          <t>Тропическая Дичь</t>
        </is>
      </c>
      <c r="C125" s="116" t="inlineStr">
        <is>
          <t>Sour Ale</t>
        </is>
      </c>
      <c r="D125" s="116" t="inlineStr">
        <is>
          <t>6 / 14 / 10</t>
        </is>
      </c>
      <c r="E125" s="82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5" s="86" t="inlineStr">
        <is>
          <t>ж/б 0.5 / 20</t>
        </is>
      </c>
      <c r="G125" s="116" t="inlineStr">
        <is>
          <t>12 мес.</t>
        </is>
      </c>
      <c r="H125" s="49" t="n">
        <v>195</v>
      </c>
      <c r="I125" s="92" t="inlineStr">
        <is>
          <t>много</t>
        </is>
      </c>
      <c r="J125" s="127" t="n">
        <v>1</v>
      </c>
      <c r="K125" s="127">
        <f>PRODUCT(H125,J125)</f>
        <v/>
      </c>
    </row>
    <row r="126" hidden="1" s="201">
      <c r="A126" s="192" t="inlineStr">
        <is>
          <t>Atmosphere Brewery</t>
        </is>
      </c>
      <c r="B126" s="31" t="inlineStr">
        <is>
          <t>Удар Тайсона</t>
        </is>
      </c>
      <c r="C126" s="116" t="inlineStr">
        <is>
          <t>Stout</t>
        </is>
      </c>
      <c r="D126" s="116" t="inlineStr">
        <is>
          <t>8,5 / 22 / 16</t>
        </is>
      </c>
      <c r="E126" s="82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6" s="86" t="inlineStr">
        <is>
          <t>ж/б 0.5 / 20</t>
        </is>
      </c>
      <c r="G126" s="116" t="inlineStr">
        <is>
          <t>12 мес.</t>
        </is>
      </c>
      <c r="H126" s="49" t="n">
        <v>195</v>
      </c>
      <c r="I126" s="93" t="inlineStr">
        <is>
          <t>много</t>
        </is>
      </c>
      <c r="J126" s="127" t="n">
        <v>1</v>
      </c>
      <c r="K126" s="127">
        <f>PRODUCT(H126,J126)</f>
        <v/>
      </c>
    </row>
    <row r="127" hidden="1" s="201">
      <c r="A127" s="192" t="inlineStr">
        <is>
          <t>Atmosphere Brewery</t>
        </is>
      </c>
      <c r="B127" s="17" t="inlineStr">
        <is>
          <t xml:space="preserve">Full immersion </t>
        </is>
      </c>
      <c r="C127" s="79" t="inlineStr">
        <is>
          <t>Stout</t>
        </is>
      </c>
      <c r="D127" s="79" t="inlineStr">
        <is>
          <t>8,5 / 22 / 16</t>
        </is>
      </c>
      <c r="E127" s="81" t="inlineStr">
        <is>
          <t>Стаут с добавлением жареного фундука.</t>
        </is>
      </c>
      <c r="F127" s="62" t="inlineStr">
        <is>
          <t>ж/б 0.5 / 20</t>
        </is>
      </c>
      <c r="G127" s="79" t="inlineStr">
        <is>
          <t>12 мес.</t>
        </is>
      </c>
      <c r="H127" s="52" t="n">
        <v>205</v>
      </c>
      <c r="I127" s="93" t="inlineStr">
        <is>
          <t>много</t>
        </is>
      </c>
      <c r="J127" s="127" t="n">
        <v>1</v>
      </c>
      <c r="K127" s="127">
        <f>PRODUCT(H127,J127)</f>
        <v/>
      </c>
    </row>
    <row r="128" hidden="1" s="201">
      <c r="A128" s="192" t="inlineStr">
        <is>
          <t>Atmosphere Brewery</t>
        </is>
      </c>
      <c r="B128" s="17" t="inlineStr">
        <is>
          <t>Mousse Cake Raspberry Apricot</t>
        </is>
      </c>
      <c r="C128" s="79" t="inlineStr">
        <is>
          <t>Sour Ale</t>
        </is>
      </c>
      <c r="D128" s="79" t="inlineStr">
        <is>
          <t>6,9 / 20 / -</t>
        </is>
      </c>
      <c r="E128" s="81" t="inlineStr">
        <is>
          <t>Pastry sour ale с добавлением малины,абрикоса,миндаля и бисквита. Коллаборация с Big Pot.</t>
        </is>
      </c>
      <c r="F128" s="62" t="inlineStr">
        <is>
          <t>ж/б 0.5 / 20</t>
        </is>
      </c>
      <c r="G128" s="79" t="inlineStr">
        <is>
          <t>12 мес.</t>
        </is>
      </c>
      <c r="H128" s="52" t="n">
        <v>229</v>
      </c>
      <c r="I128" s="93" t="inlineStr">
        <is>
          <t>много</t>
        </is>
      </c>
      <c r="J128" s="127" t="n">
        <v>1</v>
      </c>
      <c r="K128" s="127">
        <f>PRODUCT(H128,J128)</f>
        <v/>
      </c>
    </row>
    <row r="129" hidden="1" s="201">
      <c r="A129" s="192" t="inlineStr">
        <is>
          <t>Atmosphere Brewery</t>
        </is>
      </c>
      <c r="B129" s="31" t="inlineStr">
        <is>
          <t>Sour Club</t>
        </is>
      </c>
      <c r="C129" s="116" t="inlineStr">
        <is>
          <t>Sour Ale</t>
        </is>
      </c>
      <c r="D129" s="116" t="inlineStr">
        <is>
          <t>6 / 21 / -</t>
        </is>
      </c>
      <c r="E129" s="82" t="inlineStr">
        <is>
          <t>Кислый эль с добавлением сока гуавы, лайма и пюре клубники.</t>
        </is>
      </c>
      <c r="F129" s="86" t="inlineStr">
        <is>
          <t>ж/б 0.45 / 20</t>
        </is>
      </c>
      <c r="G129" s="116" t="inlineStr">
        <is>
          <t>12 мес.</t>
        </is>
      </c>
      <c r="H129" s="49" t="n">
        <v>215</v>
      </c>
      <c r="I129" s="93" t="inlineStr">
        <is>
          <t>много</t>
        </is>
      </c>
      <c r="J129" s="127" t="n">
        <v>1</v>
      </c>
      <c r="K129" s="127">
        <f>PRODUCT(H129,J129)</f>
        <v/>
      </c>
    </row>
    <row r="130" hidden="1" s="201">
      <c r="A130" s="192" t="inlineStr">
        <is>
          <t>Atmosphere Brewery</t>
        </is>
      </c>
      <c r="B130" s="31" t="inlineStr">
        <is>
          <t>Tropical Mix</t>
        </is>
      </c>
      <c r="C130" s="79" t="inlineStr">
        <is>
          <t>Smoothie</t>
        </is>
      </c>
      <c r="D130" s="79" t="inlineStr">
        <is>
          <t>6,9 / 20 / -</t>
        </is>
      </c>
      <c r="E130" s="18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0" s="62" t="inlineStr">
        <is>
          <t>ж/б 0.45 / 20</t>
        </is>
      </c>
      <c r="G130" s="79" t="inlineStr">
        <is>
          <t>12 мес.</t>
        </is>
      </c>
      <c r="H130" s="52" t="n">
        <v>209</v>
      </c>
      <c r="I130" s="93" t="inlineStr">
        <is>
          <t>много</t>
        </is>
      </c>
      <c r="J130" s="127" t="n">
        <v>0</v>
      </c>
      <c r="K130" s="127">
        <f>PRODUCT(H130,J130)</f>
        <v/>
      </c>
    </row>
    <row r="131" hidden="1" s="201">
      <c r="A131" s="90" t="inlineStr">
        <is>
          <t>Big Pot г. Ростов-на-Дону</t>
        </is>
      </c>
      <c r="B131" s="202" t="n"/>
      <c r="C131" s="202" t="n"/>
      <c r="D131" s="202" t="n"/>
      <c r="E131" s="202" t="n"/>
      <c r="F131" s="202" t="n"/>
      <c r="G131" s="202" t="n"/>
      <c r="H131" s="202" t="n"/>
      <c r="I131" s="203" t="n"/>
      <c r="J131" s="90" t="n">
        <v>1</v>
      </c>
      <c r="K131" s="90" t="n"/>
    </row>
    <row r="132" hidden="1" s="201">
      <c r="A132" s="192" t="inlineStr">
        <is>
          <t>Big Pot</t>
        </is>
      </c>
      <c r="B132" s="30" t="inlineStr">
        <is>
          <t>4 Anniversary Smoothie Ale</t>
        </is>
      </c>
      <c r="C132" s="79" t="inlineStr">
        <is>
          <t>Smoothie</t>
        </is>
      </c>
      <c r="D132" s="79" t="inlineStr">
        <is>
          <t>6,5 /21 / -</t>
        </is>
      </c>
      <c r="E132" s="18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2" s="62" t="inlineStr">
        <is>
          <t>ж/б 0.45 / 20</t>
        </is>
      </c>
      <c r="G132" s="79" t="inlineStr">
        <is>
          <t>12 мес.</t>
        </is>
      </c>
      <c r="H132" s="52" t="n">
        <v>259</v>
      </c>
      <c r="I132" s="48" t="n">
        <v>6</v>
      </c>
      <c r="J132" s="127" t="n">
        <v>1</v>
      </c>
      <c r="K132" s="127">
        <f>PRODUCT(H132,J132)</f>
        <v/>
      </c>
    </row>
    <row r="133" hidden="1" s="201">
      <c r="A133" s="192" t="inlineStr">
        <is>
          <t>Big Pot</t>
        </is>
      </c>
      <c r="B133" s="30" t="inlineStr">
        <is>
          <t>Вспышка</t>
        </is>
      </c>
      <c r="C133" s="116" t="inlineStr">
        <is>
          <t>Smoothie</t>
        </is>
      </c>
      <c r="D133" s="116" t="inlineStr">
        <is>
          <t>6,5 /21 / -</t>
        </is>
      </c>
      <c r="E133" s="82" t="inlineStr">
        <is>
          <t>Второй рекордсмен по плотности в наших рядах - настоящая Вспышка вкуса и энергии! Яркий, сладкий абрикос, кислинка лимона и сочные ноты малины!</t>
        </is>
      </c>
      <c r="F133" s="86" t="inlineStr">
        <is>
          <t>ж/б 0.45 / 20</t>
        </is>
      </c>
      <c r="G133" s="116" t="inlineStr">
        <is>
          <t>12 мес.</t>
        </is>
      </c>
      <c r="H133" s="49" t="n">
        <v>249</v>
      </c>
      <c r="I133" s="48" t="n">
        <v>5</v>
      </c>
      <c r="J133" s="127" t="n">
        <v>1</v>
      </c>
      <c r="K133" s="127">
        <f>PRODUCT(H133,J133)</f>
        <v/>
      </c>
    </row>
    <row r="134" hidden="1" s="201">
      <c r="A134" s="192" t="inlineStr">
        <is>
          <t>Big Pot</t>
        </is>
      </c>
      <c r="B134" s="28" t="inlineStr">
        <is>
          <t>ПИРОГ Маракуйя, Слива, Малина</t>
        </is>
      </c>
      <c r="C134" s="79" t="inlineStr">
        <is>
          <t>Smoothie</t>
        </is>
      </c>
      <c r="D134" s="79" t="inlineStr">
        <is>
          <t>6,5 /21 / -</t>
        </is>
      </c>
      <c r="E134" s="188" t="inlineStr">
        <is>
          <t>Наше прочтение любимого десерта с кусочками малины, сливы и экзотической маракуйи.</t>
        </is>
      </c>
      <c r="F134" s="62" t="inlineStr">
        <is>
          <t>ж/б 0.45 / 20</t>
        </is>
      </c>
      <c r="G134" s="79" t="inlineStr">
        <is>
          <t>12 мес.</t>
        </is>
      </c>
      <c r="H134" s="52" t="n">
        <v>259</v>
      </c>
      <c r="I134" s="48" t="n">
        <v>5</v>
      </c>
      <c r="J134" s="127" t="n">
        <v>1</v>
      </c>
      <c r="K134" s="127">
        <f>PRODUCT(H134,J134)</f>
        <v/>
      </c>
    </row>
    <row r="135" hidden="1" s="201">
      <c r="A135" s="192" t="inlineStr">
        <is>
          <t>Big Pot</t>
        </is>
      </c>
      <c r="B135" s="28" t="inlineStr">
        <is>
          <t>ПИРОГ Маракуйя, Клубника</t>
        </is>
      </c>
      <c r="C135" s="79" t="inlineStr">
        <is>
          <t>Smoothie</t>
        </is>
      </c>
      <c r="D135" s="79" t="inlineStr">
        <is>
          <t>6,5 /21 / -</t>
        </is>
      </c>
      <c r="E135" s="188" t="inlineStr">
        <is>
          <t>Клубника, маракуйя, нотки пирога — ярко, кисло-сладко, уютно.</t>
        </is>
      </c>
      <c r="F135" s="62" t="inlineStr">
        <is>
          <t>ж/б 0.45 / 20</t>
        </is>
      </c>
      <c r="G135" s="79" t="inlineStr">
        <is>
          <t>12 мес.</t>
        </is>
      </c>
      <c r="H135" s="52" t="n">
        <v>259</v>
      </c>
      <c r="I135" s="48" t="n">
        <v>5</v>
      </c>
      <c r="J135" s="127" t="n">
        <v>1</v>
      </c>
      <c r="K135" s="127">
        <f>PRODUCT(H135,J135)</f>
        <v/>
      </c>
    </row>
    <row r="136" hidden="1" s="201">
      <c r="A136" s="192" t="inlineStr">
        <is>
          <t>Big Pot</t>
        </is>
      </c>
      <c r="B136" s="30" t="inlineStr">
        <is>
          <t>Ромашка</t>
        </is>
      </c>
      <c r="C136" s="116" t="inlineStr">
        <is>
          <t>Wild Ale</t>
        </is>
      </c>
      <c r="D136" s="116" t="inlineStr">
        <is>
          <t>6,5 /21 / -</t>
        </is>
      </c>
      <c r="E136" s="82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86" t="inlineStr">
        <is>
          <t>ж/б 0.45 / 20</t>
        </is>
      </c>
      <c r="G136" s="116" t="inlineStr">
        <is>
          <t>12 мес.</t>
        </is>
      </c>
      <c r="H136" s="49" t="n">
        <v>249</v>
      </c>
      <c r="I136" s="48" t="n">
        <v>1</v>
      </c>
      <c r="J136" s="127" t="n">
        <v>1</v>
      </c>
      <c r="K136" s="127">
        <f>PRODUCT(H136,J136)</f>
        <v/>
      </c>
    </row>
    <row r="137" hidden="1" s="201">
      <c r="A137" s="192" t="inlineStr">
        <is>
          <t>Big Pot</t>
        </is>
      </c>
      <c r="B137" s="28" t="inlineStr">
        <is>
          <t>Смузикальная пауза</t>
        </is>
      </c>
      <c r="C137" s="116" t="inlineStr">
        <is>
          <t>Smoothie</t>
        </is>
      </c>
      <c r="D137" s="116" t="inlineStr">
        <is>
          <t>6,5 /21 / -</t>
        </is>
      </c>
      <c r="E137" s="82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86" t="inlineStr">
        <is>
          <t>ж/б 0.45 / 20</t>
        </is>
      </c>
      <c r="G137" s="116" t="inlineStr">
        <is>
          <t>12 мес.</t>
        </is>
      </c>
      <c r="H137" s="49" t="n">
        <v>259</v>
      </c>
      <c r="I137" s="93" t="inlineStr">
        <is>
          <t>много</t>
        </is>
      </c>
      <c r="J137" s="127" t="n">
        <v>1</v>
      </c>
      <c r="K137" s="127">
        <f>PRODUCT(H137,J137)</f>
        <v/>
      </c>
    </row>
    <row r="138" hidden="1" s="201">
      <c r="A138" s="192" t="inlineStr">
        <is>
          <t>Big Pot</t>
        </is>
      </c>
      <c r="B138" s="30" t="inlineStr">
        <is>
          <t>BIG CLASH!</t>
        </is>
      </c>
      <c r="C138" s="79" t="inlineStr">
        <is>
          <t>Sour IPA</t>
        </is>
      </c>
      <c r="D138" s="79" t="inlineStr">
        <is>
          <t>6,5 /21 / -</t>
        </is>
      </c>
      <c r="E138" s="18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62" t="inlineStr">
        <is>
          <t>ж/б 0.45 / 20</t>
        </is>
      </c>
      <c r="G138" s="79" t="inlineStr">
        <is>
          <t>12 мес.</t>
        </is>
      </c>
      <c r="H138" s="52" t="n">
        <v>299</v>
      </c>
      <c r="I138" s="93" t="inlineStr">
        <is>
          <t>много</t>
        </is>
      </c>
      <c r="J138" s="127" t="n">
        <v>1</v>
      </c>
      <c r="K138" s="127">
        <f>PRODUCT(H138,J138)</f>
        <v/>
      </c>
    </row>
    <row r="139" hidden="1" s="201">
      <c r="A139" s="192" t="inlineStr">
        <is>
          <t>Big Pot</t>
        </is>
      </c>
      <c r="B139" s="28" t="inlineStr">
        <is>
          <t>Birds Guava, Kiwi, Raspberry, Pineapple</t>
        </is>
      </c>
      <c r="C139" s="116" t="inlineStr">
        <is>
          <t>Smoothie</t>
        </is>
      </c>
      <c r="D139" s="116" t="inlineStr">
        <is>
          <t>6,5 /21 / -</t>
        </is>
      </c>
      <c r="E139" s="82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86" t="inlineStr">
        <is>
          <t>ж/б 0.45 / 20</t>
        </is>
      </c>
      <c r="G139" s="116" t="inlineStr">
        <is>
          <t>12 мес.</t>
        </is>
      </c>
      <c r="H139" s="49" t="n">
        <v>249</v>
      </c>
      <c r="I139" s="93" t="inlineStr">
        <is>
          <t>много</t>
        </is>
      </c>
      <c r="J139" s="127" t="n">
        <v>1</v>
      </c>
      <c r="K139" s="127">
        <f>PRODUCT(H139,J139)</f>
        <v/>
      </c>
    </row>
    <row r="140" hidden="1" s="201">
      <c r="A140" s="192" t="inlineStr">
        <is>
          <t>Big Pot</t>
        </is>
      </c>
      <c r="B140" s="28" t="inlineStr">
        <is>
          <t>BIRDS Lychee, Mango, Banana, Passion Fruit</t>
        </is>
      </c>
      <c r="C140" s="79" t="inlineStr">
        <is>
          <t>Smoothie</t>
        </is>
      </c>
      <c r="D140" s="79" t="inlineStr">
        <is>
          <t>6,5 /21 / -</t>
        </is>
      </c>
      <c r="E140" s="18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62" t="inlineStr">
        <is>
          <t>ж/б 0.45 / 20</t>
        </is>
      </c>
      <c r="G140" s="79" t="inlineStr">
        <is>
          <t>12 мес.</t>
        </is>
      </c>
      <c r="H140" s="52" t="n">
        <v>265</v>
      </c>
      <c r="I140" s="48" t="n">
        <v>1</v>
      </c>
      <c r="J140" s="127" t="n">
        <v>1</v>
      </c>
      <c r="K140" s="127">
        <f>PRODUCT(H140,J140)</f>
        <v/>
      </c>
    </row>
    <row r="141" hidden="1" s="201">
      <c r="A141" s="192" t="inlineStr">
        <is>
          <t>Big Pot</t>
        </is>
      </c>
      <c r="B141" s="28" t="inlineStr">
        <is>
          <t>Birds Mango, Strawberry. Watermelon</t>
        </is>
      </c>
      <c r="C141" s="116" t="inlineStr">
        <is>
          <t>Smoothie</t>
        </is>
      </c>
      <c r="D141" s="116" t="inlineStr">
        <is>
          <t>6,5 /21 / -</t>
        </is>
      </c>
      <c r="E141" s="82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86" t="inlineStr">
        <is>
          <t>ж/б 0.45 / 20</t>
        </is>
      </c>
      <c r="G141" s="116" t="inlineStr">
        <is>
          <t>12 мес.</t>
        </is>
      </c>
      <c r="H141" s="49" t="n">
        <v>249</v>
      </c>
      <c r="I141" s="48" t="n">
        <v>6</v>
      </c>
      <c r="J141" s="127" t="n">
        <v>1</v>
      </c>
      <c r="K141" s="127">
        <f>PRODUCT(H141,J141)</f>
        <v/>
      </c>
    </row>
    <row r="142" hidden="1" s="201">
      <c r="A142" s="192" t="inlineStr">
        <is>
          <t>Big Pot</t>
        </is>
      </c>
      <c r="B142" s="28" t="inlineStr">
        <is>
          <t>BIRDS Passion Fruit, Pineapple, Mango, Banana</t>
        </is>
      </c>
      <c r="C142" s="79" t="inlineStr">
        <is>
          <t>Smoothie</t>
        </is>
      </c>
      <c r="D142" s="79" t="inlineStr">
        <is>
          <t>6,5 /21 / -</t>
        </is>
      </c>
      <c r="E142" s="188" t="inlineStr">
        <is>
          <t xml:space="preserve">Яркий, тропический кисло-сладкий коктейль.  Сладкое  манго, свежий ананас, легкий цитрусовый шлейф маракуйи на воздушной подушке нежного мягкого банана. </t>
        </is>
      </c>
      <c r="F142" s="62" t="inlineStr">
        <is>
          <t>ж/б 0.45 / 20</t>
        </is>
      </c>
      <c r="G142" s="79" t="inlineStr">
        <is>
          <t>12 мес.</t>
        </is>
      </c>
      <c r="H142" s="52" t="n">
        <v>265</v>
      </c>
      <c r="I142" s="48" t="n">
        <v>8</v>
      </c>
      <c r="J142" s="127" t="n">
        <v>1</v>
      </c>
      <c r="K142" s="127">
        <f>PRODUCT(H142,J142)</f>
        <v/>
      </c>
    </row>
    <row r="143" hidden="1" s="201">
      <c r="A143" s="192" t="inlineStr">
        <is>
          <t>Big Pot</t>
        </is>
      </c>
      <c r="B143" s="30" t="inlineStr">
        <is>
          <t>FIRST LOVE: BLACK CURRANT &amp; BANANA &amp; RASPBERRY</t>
        </is>
      </c>
      <c r="C143" s="79" t="inlineStr">
        <is>
          <t>Smoothie</t>
        </is>
      </c>
      <c r="D143" s="79" t="inlineStr">
        <is>
          <t>6,5 /21 / -</t>
        </is>
      </c>
      <c r="E143" s="18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3" s="62" t="inlineStr">
        <is>
          <t>ж/б 0.45 / 20</t>
        </is>
      </c>
      <c r="G143" s="79" t="inlineStr">
        <is>
          <t>12 мес.</t>
        </is>
      </c>
      <c r="H143" s="52" t="n">
        <v>249</v>
      </c>
      <c r="I143" s="93" t="inlineStr">
        <is>
          <t>много</t>
        </is>
      </c>
      <c r="J143" s="127" t="n">
        <v>1</v>
      </c>
      <c r="K143" s="127">
        <f>PRODUCT(H143,J143)</f>
        <v/>
      </c>
    </row>
    <row r="144" hidden="1" s="201">
      <c r="A144" s="192" t="inlineStr">
        <is>
          <t>Big Pot</t>
        </is>
      </c>
      <c r="B144" s="28" t="inlineStr">
        <is>
          <t>Serotonin: Black Currant, Blueberry, Mango</t>
        </is>
      </c>
      <c r="C144" s="116" t="inlineStr">
        <is>
          <t>Smoothie</t>
        </is>
      </c>
      <c r="D144" s="116" t="inlineStr">
        <is>
          <t>6,5 /21 / -</t>
        </is>
      </c>
      <c r="E144" s="82" t="inlineStr">
        <is>
          <t>Плотный саур-эль с массивными нотами черной смородины и черники, дополненные индийским манго.</t>
        </is>
      </c>
      <c r="F144" s="86" t="inlineStr">
        <is>
          <t>ж/б 0.45 / 20</t>
        </is>
      </c>
      <c r="G144" s="116" t="inlineStr">
        <is>
          <t>12 мес.</t>
        </is>
      </c>
      <c r="H144" s="49" t="n">
        <v>249</v>
      </c>
      <c r="I144" s="93" t="inlineStr">
        <is>
          <t>много</t>
        </is>
      </c>
      <c r="J144" s="127" t="n">
        <v>1</v>
      </c>
      <c r="K144" s="127">
        <f>PRODUCT(H144,J144)</f>
        <v/>
      </c>
    </row>
    <row r="145" hidden="1" s="201">
      <c r="A145" s="192" t="inlineStr">
        <is>
          <t>Big Pot</t>
        </is>
      </c>
      <c r="B145" s="28" t="inlineStr">
        <is>
          <t>Serotonin: Guava, Banana, Raspberry, Blackberry</t>
        </is>
      </c>
      <c r="C145" s="116" t="inlineStr">
        <is>
          <t>Smoothie</t>
        </is>
      </c>
      <c r="D145" s="116" t="inlineStr">
        <is>
          <t>6,5 /21 / -</t>
        </is>
      </c>
      <c r="E145" s="82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5" s="86" t="inlineStr">
        <is>
          <t>ж/б 0.45 / 20</t>
        </is>
      </c>
      <c r="G145" s="116" t="inlineStr">
        <is>
          <t>12 мес.</t>
        </is>
      </c>
      <c r="H145" s="49" t="n">
        <v>249</v>
      </c>
      <c r="I145" s="93" t="inlineStr">
        <is>
          <t>много</t>
        </is>
      </c>
      <c r="J145" s="127" t="n">
        <v>1</v>
      </c>
      <c r="K145" s="127">
        <f>PRODUCT(H145,J145)</f>
        <v/>
      </c>
    </row>
    <row r="146" hidden="1" s="201">
      <c r="A146" s="192" t="inlineStr">
        <is>
          <t>Big Pot</t>
        </is>
      </c>
      <c r="B146" s="28" t="inlineStr">
        <is>
          <t>Serotonin: Guava, Papaya, Peach, Raspberry</t>
        </is>
      </c>
      <c r="C146" s="79" t="inlineStr">
        <is>
          <t>Smoothie</t>
        </is>
      </c>
      <c r="D146" s="79" t="inlineStr">
        <is>
          <t>6,5 /21 / -</t>
        </is>
      </c>
      <c r="E146" s="18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6" s="62" t="inlineStr">
        <is>
          <t>ж/б 0.45 / 20</t>
        </is>
      </c>
      <c r="G146" s="79" t="inlineStr">
        <is>
          <t>12 мес.</t>
        </is>
      </c>
      <c r="H146" s="52" t="n">
        <v>249</v>
      </c>
      <c r="I146" s="48" t="n">
        <v>8</v>
      </c>
      <c r="J146" s="127" t="n">
        <v>1</v>
      </c>
      <c r="K146" s="127">
        <f>PRODUCT(H146,J146)</f>
        <v/>
      </c>
    </row>
    <row r="147" hidden="1" s="201">
      <c r="A147" s="192" t="inlineStr">
        <is>
          <t>Big Pot</t>
        </is>
      </c>
      <c r="B147" s="28" t="inlineStr">
        <is>
          <t>Serotonin: Mango, Plum, Peach</t>
        </is>
      </c>
      <c r="C147" s="79" t="inlineStr">
        <is>
          <t>Smoothie</t>
        </is>
      </c>
      <c r="D147" s="79" t="inlineStr">
        <is>
          <t>6,5 /21 / -</t>
        </is>
      </c>
      <c r="E147" s="18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7" s="62" t="inlineStr">
        <is>
          <t>ж/б 0.45 / 20</t>
        </is>
      </c>
      <c r="G147" s="79" t="inlineStr">
        <is>
          <t>12 мес.</t>
        </is>
      </c>
      <c r="H147" s="52" t="n">
        <v>249</v>
      </c>
      <c r="I147" s="93" t="inlineStr">
        <is>
          <t>много</t>
        </is>
      </c>
      <c r="J147" s="127" t="n">
        <v>1</v>
      </c>
      <c r="K147" s="127">
        <f>PRODUCT(H147,J147)</f>
        <v/>
      </c>
    </row>
    <row r="148" hidden="1" s="201">
      <c r="A148" s="192" t="inlineStr">
        <is>
          <t>Big Pot</t>
        </is>
      </c>
      <c r="B148" s="28" t="inlineStr">
        <is>
          <t>Serotonin: Strawberry, Guava</t>
        </is>
      </c>
      <c r="C148" s="79" t="inlineStr">
        <is>
          <t>Smoothie</t>
        </is>
      </c>
      <c r="D148" s="79" t="inlineStr">
        <is>
          <t>6,5 /21 / -</t>
        </is>
      </c>
      <c r="E148" s="18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8" s="62" t="inlineStr">
        <is>
          <t>ж/б 0.45 / 20</t>
        </is>
      </c>
      <c r="G148" s="79" t="inlineStr">
        <is>
          <t>12 мес.</t>
        </is>
      </c>
      <c r="H148" s="52" t="n">
        <v>249</v>
      </c>
      <c r="I148" s="93" t="inlineStr">
        <is>
          <t>много</t>
        </is>
      </c>
      <c r="J148" s="127" t="n">
        <v>1</v>
      </c>
      <c r="K148" s="127">
        <f>PRODUCT(H148,J148)</f>
        <v/>
      </c>
    </row>
    <row r="149" hidden="1" s="201">
      <c r="A149" s="192" t="inlineStr">
        <is>
          <t>Big Pot</t>
        </is>
      </c>
      <c r="B149" s="28" t="inlineStr">
        <is>
          <t>TOMATO TOMATO UKROP</t>
        </is>
      </c>
      <c r="C149" s="79" t="inlineStr">
        <is>
          <t>Tomato Gose</t>
        </is>
      </c>
      <c r="D149" s="79" t="inlineStr">
        <is>
          <t>6,5 /21 / -</t>
        </is>
      </c>
      <c r="E149" s="188" t="inlineStr">
        <is>
          <t xml:space="preserve">Новая версия наших томатных гозе - укропная. </t>
        </is>
      </c>
      <c r="F149" s="62" t="inlineStr">
        <is>
          <t>ж/б 0.45 / 20</t>
        </is>
      </c>
      <c r="G149" s="79" t="inlineStr">
        <is>
          <t>12 мес.</t>
        </is>
      </c>
      <c r="H149" s="52" t="n">
        <v>215</v>
      </c>
      <c r="I149" s="48" t="n">
        <v>1</v>
      </c>
      <c r="J149" s="127" t="n">
        <v>1</v>
      </c>
      <c r="K149" s="127">
        <f>PRODUCT(H149,J149)</f>
        <v/>
      </c>
    </row>
    <row r="150" hidden="1" s="201">
      <c r="A150" s="192" t="inlineStr">
        <is>
          <t>Big Pot</t>
        </is>
      </c>
      <c r="B150" s="30" t="inlineStr">
        <is>
          <t>Very Tasty</t>
        </is>
      </c>
      <c r="C150" s="79" t="inlineStr">
        <is>
          <t>Smoothie</t>
        </is>
      </c>
      <c r="D150" s="79" t="inlineStr">
        <is>
          <t>6,5 /21 / -</t>
        </is>
      </c>
      <c r="E150" s="18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50" s="62" t="inlineStr">
        <is>
          <t>ж/б 0.45 / 20</t>
        </is>
      </c>
      <c r="G150" s="79" t="inlineStr">
        <is>
          <t>12 мес.</t>
        </is>
      </c>
      <c r="H150" s="52" t="n">
        <v>249</v>
      </c>
      <c r="I150" s="93" t="inlineStr">
        <is>
          <t>много</t>
        </is>
      </c>
      <c r="J150" s="127" t="n">
        <v>0</v>
      </c>
      <c r="K150" s="127">
        <f>PRODUCT(H150,J150)</f>
        <v/>
      </c>
    </row>
    <row r="151" hidden="1" s="201">
      <c r="A151" s="90" t="inlineStr">
        <is>
          <t>Big Village Brewery г. Краснодар</t>
        </is>
      </c>
      <c r="B151" s="202" t="n"/>
      <c r="C151" s="202" t="n"/>
      <c r="D151" s="202" t="n"/>
      <c r="E151" s="202" t="n"/>
      <c r="F151" s="202" t="n"/>
      <c r="G151" s="202" t="n"/>
      <c r="H151" s="202" t="n"/>
      <c r="I151" s="203" t="n"/>
      <c r="J151" s="90" t="n">
        <v>1</v>
      </c>
      <c r="K151" s="90" t="n"/>
    </row>
    <row r="152" hidden="1" s="201">
      <c r="A152" s="192" t="inlineStr">
        <is>
          <t>Big Village</t>
        </is>
      </c>
      <c r="B152" s="28" t="inlineStr">
        <is>
          <t>ABC-Kölsch</t>
        </is>
      </c>
      <c r="C152" s="116" t="inlineStr">
        <is>
          <t>Kölsch</t>
        </is>
      </c>
      <c r="D152" s="116" t="inlineStr">
        <is>
          <t>5,5 / 12,7 / 20</t>
        </is>
      </c>
      <c r="E152" s="82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2" s="86" t="inlineStr">
        <is>
          <t>ж/б 0.45 / 20</t>
        </is>
      </c>
      <c r="G152" s="116" t="inlineStr">
        <is>
          <t>6 мес.</t>
        </is>
      </c>
      <c r="H152" s="49" t="n">
        <v>185</v>
      </c>
      <c r="I152" s="92" t="inlineStr">
        <is>
          <t>много</t>
        </is>
      </c>
      <c r="J152" s="127" t="n">
        <v>1</v>
      </c>
      <c r="K152" s="127">
        <f>PRODUCT(H152,J152)</f>
        <v/>
      </c>
    </row>
    <row r="153" hidden="1" s="201">
      <c r="A153" s="192" t="inlineStr">
        <is>
          <t>Big Village</t>
        </is>
      </c>
      <c r="B153" s="30" t="inlineStr">
        <is>
          <t xml:space="preserve">ABC-Weizen </t>
        </is>
      </c>
      <c r="C153" s="18" t="inlineStr">
        <is>
          <t>Hefeweizen</t>
        </is>
      </c>
      <c r="D153" s="116" t="inlineStr">
        <is>
          <t>5,5 / 13 / 15</t>
        </is>
      </c>
      <c r="E153" s="82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3" s="86" t="inlineStr">
        <is>
          <t>ж/б 0.45 / 20</t>
        </is>
      </c>
      <c r="G153" s="116" t="inlineStr">
        <is>
          <t>6 мес.</t>
        </is>
      </c>
      <c r="H153" s="49" t="n">
        <v>189</v>
      </c>
      <c r="I153" s="92" t="inlineStr">
        <is>
          <t>много</t>
        </is>
      </c>
      <c r="J153" s="127" t="n">
        <v>1</v>
      </c>
      <c r="K153" s="127">
        <f>PRODUCT(H153,J153)</f>
        <v/>
      </c>
    </row>
    <row r="154" hidden="1" s="201">
      <c r="A154" s="192" t="inlineStr">
        <is>
          <t>Big Village</t>
        </is>
      </c>
      <c r="B154" s="28" t="inlineStr">
        <is>
          <t>Backyard Party</t>
        </is>
      </c>
      <c r="C154" s="18" t="inlineStr">
        <is>
          <t>American Lager</t>
        </is>
      </c>
      <c r="D154" s="116" t="inlineStr">
        <is>
          <t>5 / 12 / 20</t>
        </is>
      </c>
      <c r="E154" s="82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4" s="86" t="inlineStr">
        <is>
          <t>ж/б 0.45 / 20</t>
        </is>
      </c>
      <c r="G154" s="116" t="inlineStr">
        <is>
          <t>6 мес.</t>
        </is>
      </c>
      <c r="H154" s="49" t="n">
        <v>195</v>
      </c>
      <c r="I154" s="76" t="n">
        <v>9</v>
      </c>
      <c r="J154" s="127" t="n">
        <v>1</v>
      </c>
      <c r="K154" s="127">
        <f>PRODUCT(H154,J154)</f>
        <v/>
      </c>
    </row>
    <row r="155" hidden="1" s="201">
      <c r="A155" s="192" t="inlineStr">
        <is>
          <t>Big Village</t>
        </is>
      </c>
      <c r="B155" s="28" t="inlineStr">
        <is>
          <t>Duck Stories</t>
        </is>
      </c>
      <c r="C155" s="18" t="inlineStr">
        <is>
          <t>Fruited Sour Ale</t>
        </is>
      </c>
      <c r="D155" s="116" t="inlineStr">
        <is>
          <t>6 / 16 / -</t>
        </is>
      </c>
      <c r="E155" s="82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5" s="86" t="inlineStr">
        <is>
          <t>ж/б 0.45 / 20</t>
        </is>
      </c>
      <c r="G155" s="116" t="inlineStr">
        <is>
          <t>6 мес.</t>
        </is>
      </c>
      <c r="H155" s="49" t="n">
        <v>249</v>
      </c>
      <c r="I155" s="93" t="inlineStr">
        <is>
          <t>много</t>
        </is>
      </c>
      <c r="J155" s="127" t="n">
        <v>1</v>
      </c>
      <c r="K155" s="127">
        <f>PRODUCT(H155,J155)</f>
        <v/>
      </c>
    </row>
    <row r="156" hidden="1" s="201">
      <c r="A156" s="192" t="inlineStr">
        <is>
          <t>Big Village</t>
        </is>
      </c>
      <c r="B156" s="28" t="inlineStr">
        <is>
          <t>Fruitride</t>
        </is>
      </c>
      <c r="C156" s="18" t="inlineStr">
        <is>
          <t>Sour Ale</t>
        </is>
      </c>
      <c r="D156" s="116" t="inlineStr">
        <is>
          <t>6 / 16 / -</t>
        </is>
      </c>
      <c r="E156" s="82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6" s="86" t="inlineStr">
        <is>
          <t>ж/б 0.45 / 20</t>
        </is>
      </c>
      <c r="G156" s="116" t="inlineStr">
        <is>
          <t>6 мес.</t>
        </is>
      </c>
      <c r="H156" s="49" t="n">
        <v>239</v>
      </c>
      <c r="I156" s="76" t="n">
        <v>9</v>
      </c>
      <c r="J156" s="127" t="n">
        <v>1</v>
      </c>
      <c r="K156" s="127">
        <f>PRODUCT(H156,J156)</f>
        <v/>
      </c>
    </row>
    <row r="157">
      <c r="A157" s="192" t="inlineStr">
        <is>
          <t>Big Village</t>
        </is>
      </c>
      <c r="B157" s="30" t="inlineStr">
        <is>
          <t>MOMIJIGARI</t>
        </is>
      </c>
      <c r="C157" s="18" t="inlineStr">
        <is>
          <t>Sour Ale</t>
        </is>
      </c>
      <c r="D157" s="116" t="inlineStr">
        <is>
          <t>6 / 16 / -</t>
        </is>
      </c>
      <c r="E157" s="82" t="inlineStr">
        <is>
          <t xml:space="preserve">Экстра вишнёвый Сауэр Эль вдохновленный театром Кабуки и 紅葉狩り. Плод коллаборации с локальным брендом уличной одежды - KUL'TURA.
</t>
        </is>
      </c>
      <c r="F157" s="86" t="inlineStr">
        <is>
          <t>ж/б 0.45 / 20</t>
        </is>
      </c>
      <c r="G157" s="116" t="inlineStr">
        <is>
          <t>6 мес.</t>
        </is>
      </c>
      <c r="H157" s="49" t="n">
        <v>285</v>
      </c>
      <c r="I157" s="93" t="inlineStr">
        <is>
          <t>много</t>
        </is>
      </c>
      <c r="J157" s="127" t="n">
        <v>1</v>
      </c>
      <c r="K157" s="127">
        <f>PRODUCT(H157,J157)</f>
        <v/>
      </c>
    </row>
    <row r="158" hidden="1" s="201">
      <c r="A158" s="192" t="inlineStr">
        <is>
          <t>Big Village</t>
        </is>
      </c>
      <c r="B158" s="28" t="inlineStr">
        <is>
          <t>No-Sleep Time</t>
        </is>
      </c>
      <c r="C158" s="18" t="inlineStr">
        <is>
          <t>Imperial Sour Ale</t>
        </is>
      </c>
      <c r="D158" s="116" t="inlineStr">
        <is>
          <t>7 / 19 / -</t>
        </is>
      </c>
      <c r="E158" s="82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8" s="86" t="inlineStr">
        <is>
          <t>ж/б 0.45 / 20</t>
        </is>
      </c>
      <c r="G158" s="116" t="inlineStr">
        <is>
          <t>6 мес.</t>
        </is>
      </c>
      <c r="H158" s="49" t="n">
        <v>259</v>
      </c>
      <c r="I158" s="127" t="inlineStr">
        <is>
          <t>новинка</t>
        </is>
      </c>
      <c r="J158" s="127" t="n">
        <v>1</v>
      </c>
      <c r="K158" s="127">
        <f>PRODUCT(H158,J158)</f>
        <v/>
      </c>
    </row>
    <row r="159" hidden="1" s="201">
      <c r="A159" s="192" t="inlineStr">
        <is>
          <t>Big Village</t>
        </is>
      </c>
      <c r="B159" s="28" t="inlineStr">
        <is>
          <t>Repose</t>
        </is>
      </c>
      <c r="C159" s="18" t="inlineStr">
        <is>
          <t>Session IPA</t>
        </is>
      </c>
      <c r="D159" s="116" t="inlineStr">
        <is>
          <t>4,5 / 12 / 35</t>
        </is>
      </c>
      <c r="E159" s="82" t="inlineStr">
        <is>
          <t>Сессионный АйПиЭй охмеленный Krush/Simcoe. Лёгкий, светлый, сухой, с ярким ароматом и уверенной горечью.</t>
        </is>
      </c>
      <c r="F159" s="86" t="inlineStr">
        <is>
          <t>ж/б 0.45 / 20</t>
        </is>
      </c>
      <c r="G159" s="116" t="inlineStr">
        <is>
          <t>6 мес.</t>
        </is>
      </c>
      <c r="H159" s="49" t="n">
        <v>225</v>
      </c>
      <c r="I159" s="93" t="inlineStr">
        <is>
          <t>много</t>
        </is>
      </c>
      <c r="J159" s="127" t="n">
        <v>1</v>
      </c>
      <c r="K159" s="127">
        <f>PRODUCT(H159,J159)</f>
        <v/>
      </c>
    </row>
    <row r="160" hidden="1" s="201">
      <c r="A160" s="192" t="inlineStr">
        <is>
          <t>Big Village</t>
        </is>
      </c>
      <c r="B160" s="28" t="inlineStr">
        <is>
          <t>Seven Shimmers</t>
        </is>
      </c>
      <c r="C160" s="18" t="inlineStr">
        <is>
          <t>DDH Oat Cream 
NEDIPA</t>
        </is>
      </c>
      <c r="D160" s="116" t="inlineStr">
        <is>
          <t>8 / 22 / 40</t>
        </is>
      </c>
      <c r="E160" s="82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60" s="86" t="inlineStr">
        <is>
          <t>ж/б 0.45 / 20</t>
        </is>
      </c>
      <c r="G160" s="116" t="inlineStr">
        <is>
          <t>6 мес.</t>
        </is>
      </c>
      <c r="H160" s="49" t="n">
        <v>279</v>
      </c>
      <c r="I160" s="127" t="inlineStr">
        <is>
          <t>новинка</t>
        </is>
      </c>
      <c r="J160" s="127" t="n">
        <v>1</v>
      </c>
      <c r="K160" s="127">
        <f>PRODUCT(H160,J160)</f>
        <v/>
      </c>
    </row>
    <row r="161" hidden="1" s="201">
      <c r="A161" s="192" t="inlineStr">
        <is>
          <t>Big Village</t>
        </is>
      </c>
      <c r="B161" s="28" t="inlineStr">
        <is>
          <t>Solar Pressure (Orange ed.)</t>
        </is>
      </c>
      <c r="C161" s="18" t="inlineStr">
        <is>
          <t>Fruited Witbier</t>
        </is>
      </c>
      <c r="D161" s="116" t="inlineStr">
        <is>
          <t>4,5 / 11,5 / 15</t>
        </is>
      </c>
      <c r="E161" s="82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61" s="86" t="inlineStr">
        <is>
          <t>ж/б 0.45 / 20</t>
        </is>
      </c>
      <c r="G161" s="116" t="inlineStr">
        <is>
          <t>6 мес.</t>
        </is>
      </c>
      <c r="H161" s="49" t="n">
        <v>199</v>
      </c>
      <c r="I161" s="48" t="n">
        <v>3</v>
      </c>
      <c r="J161" s="127" t="n">
        <v>1</v>
      </c>
      <c r="K161" s="127">
        <f>PRODUCT(H161,J161)</f>
        <v/>
      </c>
    </row>
    <row r="162" hidden="1" s="201">
      <c r="A162" s="192" t="inlineStr">
        <is>
          <t>Big Village</t>
        </is>
      </c>
      <c r="B162" s="28" t="inlineStr">
        <is>
          <t>Tiny Love</t>
        </is>
      </c>
      <c r="C162" s="18" t="inlineStr">
        <is>
          <t>DDH NE IPA</t>
        </is>
      </c>
      <c r="D162" s="116" t="inlineStr">
        <is>
          <t>6,5 / 16,5 / 35</t>
        </is>
      </c>
      <c r="E162" s="82" t="inlineStr">
        <is>
          <t xml:space="preserve">Хейзи АйПиЭй с увесистой долей пшеницы,  охмелённый свежими гранулами Mosaic/Sabro/Simcoe. </t>
        </is>
      </c>
      <c r="F162" s="86" t="inlineStr">
        <is>
          <t>ж/б 0.45 / 20</t>
        </is>
      </c>
      <c r="G162" s="116" t="inlineStr">
        <is>
          <t>6 мес.</t>
        </is>
      </c>
      <c r="H162" s="49" t="n">
        <v>265</v>
      </c>
      <c r="I162" s="127" t="inlineStr">
        <is>
          <t>новинка</t>
        </is>
      </c>
      <c r="J162" s="127" t="n">
        <v>1</v>
      </c>
      <c r="K162" s="127">
        <f>PRODUCT(H162,J162)</f>
        <v/>
      </c>
    </row>
    <row r="163">
      <c r="A163" s="192" t="inlineStr">
        <is>
          <t>Big Village</t>
        </is>
      </c>
      <c r="B163" s="28" t="inlineStr">
        <is>
          <t>Village Stout</t>
        </is>
      </c>
      <c r="C163" s="18" t="inlineStr">
        <is>
          <t>Oatmeal Stout</t>
        </is>
      </c>
      <c r="D163" s="116" t="inlineStr">
        <is>
          <t>6 / 15 / 40</t>
        </is>
      </c>
      <c r="E163" s="82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3" s="86" t="inlineStr">
        <is>
          <t>ж/б 0.45 / 20</t>
        </is>
      </c>
      <c r="G163" s="116" t="inlineStr">
        <is>
          <t>6 мес.</t>
        </is>
      </c>
      <c r="H163" s="49" t="n">
        <v>209</v>
      </c>
      <c r="I163" s="93" t="inlineStr">
        <is>
          <t>много</t>
        </is>
      </c>
      <c r="J163" s="127" t="n">
        <v>1</v>
      </c>
      <c r="K163" s="127">
        <f>PRODUCT(H163,J163)</f>
        <v/>
      </c>
    </row>
    <row r="164" hidden="1" s="201">
      <c r="A164" s="192" t="inlineStr">
        <is>
          <t>Big Village</t>
        </is>
      </c>
      <c r="B164" s="28" t="inlineStr">
        <is>
          <t>Who Is Here?</t>
        </is>
      </c>
      <c r="C164" s="79" t="inlineStr">
        <is>
          <t>NE Pale Ale</t>
        </is>
      </c>
      <c r="D164" s="79" t="inlineStr">
        <is>
          <t>5 / 13 / 25</t>
        </is>
      </c>
      <c r="E164" s="188" t="inlineStr">
        <is>
          <t>Лёгкий и насыщенный Хейзи Пейл Эль, охмеленный двойной порцией свежих гранул Cashmere/Citra/Crush.</t>
        </is>
      </c>
      <c r="F164" s="62" t="inlineStr">
        <is>
          <t>ж/б 0.45 / 20</t>
        </is>
      </c>
      <c r="G164" s="79" t="inlineStr">
        <is>
          <t>6 мес.</t>
        </is>
      </c>
      <c r="H164" s="52" t="n">
        <v>235</v>
      </c>
      <c r="I164" s="48" t="n">
        <v>1</v>
      </c>
      <c r="J164" s="127" t="n">
        <v>1</v>
      </c>
      <c r="K164" s="127">
        <f>PRODUCT(H164,J164)</f>
        <v/>
      </c>
    </row>
    <row r="165" hidden="1" s="201">
      <c r="A165" s="192" t="inlineStr">
        <is>
          <t>Big Village</t>
        </is>
      </c>
      <c r="B165" s="28" t="inlineStr">
        <is>
          <t>WIND OF FEAR</t>
        </is>
      </c>
      <c r="C165" s="116" t="inlineStr">
        <is>
          <t>Sour Ale</t>
        </is>
      </c>
      <c r="D165" s="116" t="inlineStr">
        <is>
          <t>6 / 16 / -</t>
        </is>
      </c>
      <c r="E165" s="82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5" s="86" t="inlineStr">
        <is>
          <t>ж/б 0.45 / 20</t>
        </is>
      </c>
      <c r="G165" s="116" t="inlineStr">
        <is>
          <t>6 мес.</t>
        </is>
      </c>
      <c r="H165" s="49" t="n">
        <v>259</v>
      </c>
      <c r="I165" s="48" t="n">
        <v>2</v>
      </c>
      <c r="J165" s="127" t="n">
        <v>0</v>
      </c>
      <c r="K165" s="127">
        <f>PRODUCT(H165,J165)</f>
        <v/>
      </c>
    </row>
    <row r="166" hidden="1" s="201">
      <c r="A166" s="90" t="inlineStr">
        <is>
          <t>Boozy Kitchen г. Москва</t>
        </is>
      </c>
      <c r="B166" s="202" t="n"/>
      <c r="C166" s="202" t="n"/>
      <c r="D166" s="202" t="n"/>
      <c r="E166" s="202" t="n"/>
      <c r="F166" s="202" t="n"/>
      <c r="G166" s="202" t="n"/>
      <c r="H166" s="202" t="n"/>
      <c r="I166" s="203" t="n"/>
      <c r="J166" s="90" t="n">
        <v>1</v>
      </c>
      <c r="K166" s="90" t="n"/>
    </row>
    <row r="167" hidden="1" s="201">
      <c r="A167" s="192" t="inlineStr">
        <is>
          <t>Boozy Kitchen</t>
        </is>
      </c>
      <c r="B167" s="83" t="inlineStr">
        <is>
          <t>Встреча</t>
        </is>
      </c>
      <c r="C167" s="86" t="inlineStr">
        <is>
          <t>Cider</t>
        </is>
      </c>
      <c r="D167" s="86" t="inlineStr">
        <is>
          <t>4,5 / - / -</t>
        </is>
      </c>
      <c r="E167" s="152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7" s="86" t="inlineStr">
        <is>
          <t>ж/б 0.45 / 20</t>
        </is>
      </c>
      <c r="G167" s="116" t="inlineStr">
        <is>
          <t>12 мес.</t>
        </is>
      </c>
      <c r="H167" s="92" t="n">
        <v>289</v>
      </c>
      <c r="I167" s="93" t="inlineStr">
        <is>
          <t>много</t>
        </is>
      </c>
      <c r="J167" s="127" t="n">
        <v>1</v>
      </c>
      <c r="K167" s="127">
        <f>PRODUCT(H167,J167)</f>
        <v/>
      </c>
    </row>
    <row r="168" hidden="1" s="201">
      <c r="A168" s="192" t="inlineStr">
        <is>
          <t>Boozy Kitchen</t>
        </is>
      </c>
      <c r="B168" s="83" t="inlineStr">
        <is>
          <t>Второе дыхание</t>
        </is>
      </c>
      <c r="C168" s="86" t="inlineStr">
        <is>
          <t>Sour Ale</t>
        </is>
      </c>
      <c r="D168" s="86" t="inlineStr">
        <is>
          <t xml:space="preserve">5,5 / 17 / - </t>
        </is>
      </c>
      <c r="E168" s="152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8" s="86" t="inlineStr">
        <is>
          <t>ж/б 0.45 / 20</t>
        </is>
      </c>
      <c r="G168" s="116" t="inlineStr">
        <is>
          <t>12 мес.</t>
        </is>
      </c>
      <c r="H168" s="92" t="n">
        <v>289</v>
      </c>
      <c r="I168" s="93" t="inlineStr">
        <is>
          <t>много</t>
        </is>
      </c>
      <c r="J168" s="127" t="n">
        <v>0</v>
      </c>
      <c r="K168" s="127">
        <f>PRODUCT(H168,J168)</f>
        <v/>
      </c>
    </row>
    <row r="169" hidden="1" s="201">
      <c r="A169" s="144" t="inlineStr">
        <is>
          <t>Boxing Wizard Brewery г. Москва</t>
        </is>
      </c>
      <c r="B169" s="202" t="n"/>
      <c r="C169" s="202" t="n"/>
      <c r="D169" s="202" t="n"/>
      <c r="E169" s="202" t="n"/>
      <c r="F169" s="202" t="n"/>
      <c r="G169" s="202" t="n"/>
      <c r="H169" s="202" t="n"/>
      <c r="I169" s="203" t="n"/>
      <c r="J169" s="144" t="n">
        <v>1</v>
      </c>
      <c r="K169" s="144" t="n"/>
    </row>
    <row r="170" hidden="1" s="201">
      <c r="A170" s="192" t="inlineStr">
        <is>
          <t>Boxing Wizard</t>
        </is>
      </c>
      <c r="B170" s="85" t="inlineStr">
        <is>
          <t>Banshee</t>
        </is>
      </c>
      <c r="C170" s="159" t="inlineStr">
        <is>
          <t>Imperial Porter</t>
        </is>
      </c>
      <c r="D170" s="86" t="inlineStr">
        <is>
          <t>10 / 28 / -</t>
        </is>
      </c>
      <c r="E170" s="82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0" s="86" t="inlineStr">
        <is>
          <t>ж/б 0.33 / 12</t>
        </is>
      </c>
      <c r="G170" s="116" t="inlineStr">
        <is>
          <t>12 мес.</t>
        </is>
      </c>
      <c r="H170" s="92" t="n">
        <v>219</v>
      </c>
      <c r="I170" s="93" t="inlineStr">
        <is>
          <t>много</t>
        </is>
      </c>
      <c r="J170" s="127" t="n">
        <v>1</v>
      </c>
      <c r="K170" s="127">
        <f>PRODUCT(H170,J170)</f>
        <v/>
      </c>
    </row>
    <row r="171" hidden="1" s="201">
      <c r="A171" s="192" t="inlineStr">
        <is>
          <t>Boxing Wizard</t>
        </is>
      </c>
      <c r="B171" s="83" t="inlineStr">
        <is>
          <t>Braw Chuchter</t>
        </is>
      </c>
      <c r="C171" s="159" t="inlineStr">
        <is>
          <t>Scottish Export Ale</t>
        </is>
      </c>
      <c r="D171" s="86" t="inlineStr">
        <is>
          <t>4 / 11 / 18</t>
        </is>
      </c>
      <c r="E171" s="82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1" s="86" t="inlineStr">
        <is>
          <t>ж/б 0.45 / 12</t>
        </is>
      </c>
      <c r="G171" s="116" t="inlineStr">
        <is>
          <t>12 мес.</t>
        </is>
      </c>
      <c r="H171" s="92" t="n">
        <v>215</v>
      </c>
      <c r="I171" s="93" t="inlineStr">
        <is>
          <t>много</t>
        </is>
      </c>
      <c r="J171" s="127" t="n">
        <v>1</v>
      </c>
      <c r="K171" s="127">
        <f>PRODUCT(H171,J171)</f>
        <v/>
      </c>
    </row>
    <row r="172" hidden="1" s="201">
      <c r="A172" s="192" t="inlineStr">
        <is>
          <t>Boxing Wizard</t>
        </is>
      </c>
      <c r="B172" s="83" t="inlineStr">
        <is>
          <t>Conwy Castle</t>
        </is>
      </c>
      <c r="C172" s="159" t="inlineStr">
        <is>
          <t>Pils</t>
        </is>
      </c>
      <c r="D172" s="86" t="inlineStr">
        <is>
          <t>4,5 / 11 / 30</t>
        </is>
      </c>
      <c r="E172" s="82" t="inlineStr">
        <is>
          <t>Классический пилс, сухой и лёгкий с балансирующей горечью английского хмеля East Kent Golding и Citra.</t>
        </is>
      </c>
      <c r="F172" s="86" t="inlineStr">
        <is>
          <t>ж/б 0.45 / 12</t>
        </is>
      </c>
      <c r="G172" s="116" t="inlineStr">
        <is>
          <t>12 мес.</t>
        </is>
      </c>
      <c r="H172" s="92" t="n">
        <v>235</v>
      </c>
      <c r="I172" s="93" t="inlineStr">
        <is>
          <t>много</t>
        </is>
      </c>
      <c r="J172" s="127" t="n">
        <v>1</v>
      </c>
      <c r="K172" s="127">
        <f>PRODUCT(H172,J172)</f>
        <v/>
      </c>
    </row>
    <row r="173" hidden="1" s="201">
      <c r="A173" s="192" t="inlineStr">
        <is>
          <t>Boxing Wizard</t>
        </is>
      </c>
      <c r="B173" s="83" t="inlineStr">
        <is>
          <t>Dogmatic</t>
        </is>
      </c>
      <c r="C173" s="86" t="inlineStr">
        <is>
          <t>Best Bitter</t>
        </is>
      </c>
      <c r="D173" s="86" t="inlineStr">
        <is>
          <t>4 / 11 / 19</t>
        </is>
      </c>
      <c r="E173" s="82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3" s="86" t="inlineStr">
        <is>
          <t>ж/б 0.45 / 12</t>
        </is>
      </c>
      <c r="G173" s="116" t="inlineStr">
        <is>
          <t>12 мес.</t>
        </is>
      </c>
      <c r="H173" s="92" t="n">
        <v>215</v>
      </c>
      <c r="I173" s="93" t="inlineStr">
        <is>
          <t>много</t>
        </is>
      </c>
      <c r="J173" s="127" t="n">
        <v>1</v>
      </c>
      <c r="K173" s="127">
        <f>PRODUCT(H173,J173)</f>
        <v/>
      </c>
    </row>
    <row r="174" hidden="1" s="201">
      <c r="A174" s="192" t="inlineStr">
        <is>
          <t>Boxing Wizard</t>
        </is>
      </c>
      <c r="B174" s="85" t="inlineStr">
        <is>
          <t>Irish Wolf</t>
        </is>
      </c>
      <c r="C174" s="159" t="inlineStr">
        <is>
          <t>IPA</t>
        </is>
      </c>
      <c r="D174" s="86" t="inlineStr">
        <is>
          <t>5,5 / 13 / 45</t>
        </is>
      </c>
      <c r="E174" s="82" t="inlineStr">
        <is>
          <t>Лёгкий IPA с мягкой горечью и округлым вкусом, на охмелении Citra и First Gold.</t>
        </is>
      </c>
      <c r="F174" s="86" t="inlineStr">
        <is>
          <t>ж/б 0.45 / 12</t>
        </is>
      </c>
      <c r="G174" s="116" t="inlineStr">
        <is>
          <t>12 мес.</t>
        </is>
      </c>
      <c r="H174" s="92" t="n">
        <v>225</v>
      </c>
      <c r="I174" s="93" t="inlineStr">
        <is>
          <t>много</t>
        </is>
      </c>
      <c r="J174" s="127" t="n">
        <v>1</v>
      </c>
      <c r="K174" s="127">
        <f>PRODUCT(H174,J174)</f>
        <v/>
      </c>
    </row>
    <row r="175" hidden="1" s="201">
      <c r="A175" s="192" t="inlineStr">
        <is>
          <t>Boxing Wizard</t>
        </is>
      </c>
      <c r="B175" s="83" t="inlineStr">
        <is>
          <t>Jackeen</t>
        </is>
      </c>
      <c r="C175" s="159" t="inlineStr">
        <is>
          <t>Irish Red Ale</t>
        </is>
      </c>
      <c r="D175" s="86" t="inlineStr">
        <is>
          <t>4 / 10 / 17</t>
        </is>
      </c>
      <c r="E175" s="82" t="inlineStr">
        <is>
          <t>Классический ирландский красный эль - сухой, питкий и лёгкий.</t>
        </is>
      </c>
      <c r="F175" s="86" t="inlineStr">
        <is>
          <t>ж/б 0.45 / 12</t>
        </is>
      </c>
      <c r="G175" s="116" t="inlineStr">
        <is>
          <t>12 мес.</t>
        </is>
      </c>
      <c r="H175" s="92" t="n">
        <v>215</v>
      </c>
      <c r="I175" s="93" t="inlineStr">
        <is>
          <t>много</t>
        </is>
      </c>
      <c r="J175" s="127" t="n">
        <v>1</v>
      </c>
      <c r="K175" s="127">
        <f>PRODUCT(H175,J175)</f>
        <v/>
      </c>
    </row>
    <row r="176" hidden="1" s="201">
      <c r="A176" s="192" t="inlineStr">
        <is>
          <t>Boxing Wizard</t>
        </is>
      </c>
      <c r="B176" s="83" t="inlineStr">
        <is>
          <t>Maythorn</t>
        </is>
      </c>
      <c r="C176" s="159" t="inlineStr">
        <is>
          <t>APA</t>
        </is>
      </c>
      <c r="D176" s="86" t="inlineStr">
        <is>
          <t>4,8 / 11,5 / 30</t>
        </is>
      </c>
      <c r="E176" s="82" t="inlineStr">
        <is>
          <t>Светлый эль в современном стиле, на холодном охмелении - Citra и Centennial.</t>
        </is>
      </c>
      <c r="F176" s="86" t="inlineStr">
        <is>
          <t>ж/б 0.45 / 12</t>
        </is>
      </c>
      <c r="G176" s="116" t="inlineStr">
        <is>
          <t>12 мес.</t>
        </is>
      </c>
      <c r="H176" s="92" t="n">
        <v>225</v>
      </c>
      <c r="I176" s="93" t="inlineStr">
        <is>
          <t>много</t>
        </is>
      </c>
      <c r="J176" s="127" t="n">
        <v>1</v>
      </c>
      <c r="K176" s="127">
        <f>PRODUCT(H176,J176)</f>
        <v/>
      </c>
    </row>
    <row r="177" hidden="1" s="201">
      <c r="A177" s="192" t="inlineStr">
        <is>
          <t>Boxing Wizard</t>
        </is>
      </c>
      <c r="B177" s="83" t="inlineStr">
        <is>
          <t>Moxie</t>
        </is>
      </c>
      <c r="C177" s="159" t="inlineStr">
        <is>
          <t>ESB</t>
        </is>
      </c>
      <c r="D177" s="86" t="inlineStr">
        <is>
          <t>5,4 / 13,5 / 30</t>
        </is>
      </c>
      <c r="E177" s="82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7" s="86" t="inlineStr">
        <is>
          <t>ж/б 0.45 / 12</t>
        </is>
      </c>
      <c r="G177" s="116" t="inlineStr">
        <is>
          <t>12 мес.</t>
        </is>
      </c>
      <c r="H177" s="92" t="n">
        <v>215</v>
      </c>
      <c r="I177" s="93" t="inlineStr">
        <is>
          <t>много</t>
        </is>
      </c>
      <c r="J177" s="127" t="n">
        <v>1</v>
      </c>
      <c r="K177" s="127">
        <f>PRODUCT(H177,J177)</f>
        <v/>
      </c>
    </row>
    <row r="178" hidden="1" s="201">
      <c r="A178" s="192" t="inlineStr">
        <is>
          <t>Boxing Wizard</t>
        </is>
      </c>
      <c r="B178" s="83" t="inlineStr">
        <is>
          <t>Sound Bevvy</t>
        </is>
      </c>
      <c r="C178" s="159" t="inlineStr">
        <is>
          <t>Hoppy Amber Lager</t>
        </is>
      </c>
      <c r="D178" s="86" t="inlineStr">
        <is>
          <t>4 / 10,5 / 29</t>
        </is>
      </c>
      <c r="E178" s="82" t="inlineStr">
        <is>
          <t>Лёгкий янтарный лагер с выразительной горечью. Коллаборация с клубом болельщиков Liverpool FC - Moskopites. YNWA!</t>
        </is>
      </c>
      <c r="F178" s="86" t="inlineStr">
        <is>
          <t>ж/б 0.45 / 12</t>
        </is>
      </c>
      <c r="G178" s="116" t="inlineStr">
        <is>
          <t>12 мес.</t>
        </is>
      </c>
      <c r="H178" s="92" t="n">
        <v>215</v>
      </c>
      <c r="I178" s="93" t="inlineStr">
        <is>
          <t>много</t>
        </is>
      </c>
      <c r="J178" s="127" t="n">
        <v>1</v>
      </c>
      <c r="K178" s="127">
        <f>PRODUCT(H178,J178)</f>
        <v/>
      </c>
    </row>
    <row r="179" hidden="1" s="201">
      <c r="A179" s="192" t="inlineStr">
        <is>
          <t>Boxing Wizard</t>
        </is>
      </c>
      <c r="B179" s="85" t="inlineStr">
        <is>
          <t>Suckin Diesel Hell</t>
        </is>
      </c>
      <c r="C179" s="159" t="inlineStr">
        <is>
          <t>Helles</t>
        </is>
      </c>
      <c r="D179" s="86" t="inlineStr">
        <is>
          <t>5 / 12 / 18</t>
        </is>
      </c>
      <c r="E179" s="82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79" s="86" t="inlineStr">
        <is>
          <t>ж/б 0.45 / 12</t>
        </is>
      </c>
      <c r="G179" s="116" t="inlineStr">
        <is>
          <t>12 мес.</t>
        </is>
      </c>
      <c r="H179" s="92" t="n">
        <v>199</v>
      </c>
      <c r="I179" s="93" t="inlineStr">
        <is>
          <t>много</t>
        </is>
      </c>
      <c r="J179" s="127" t="n">
        <v>0</v>
      </c>
      <c r="K179" s="127">
        <f>PRODUCT(H179,J179)</f>
        <v/>
      </c>
    </row>
    <row r="180" hidden="1" s="201">
      <c r="A180" s="90" t="inlineStr">
        <is>
          <t>DIETA г. Санкт-Петербург</t>
        </is>
      </c>
      <c r="B180" s="202" t="n"/>
      <c r="C180" s="202" t="n"/>
      <c r="D180" s="202" t="n"/>
      <c r="E180" s="202" t="n"/>
      <c r="F180" s="202" t="n"/>
      <c r="G180" s="202" t="n"/>
      <c r="H180" s="202" t="n"/>
      <c r="I180" s="203" t="n"/>
      <c r="J180" s="90" t="n">
        <v>1</v>
      </c>
      <c r="K180" s="90" t="n"/>
    </row>
    <row r="181" hidden="1" s="201">
      <c r="A181" s="196" t="inlineStr">
        <is>
          <t>DIETA</t>
        </is>
      </c>
      <c r="B181" s="83" t="inlineStr">
        <is>
          <t>В Собственном Соку: Вишня</t>
        </is>
      </c>
      <c r="C181" s="86" t="inlineStr">
        <is>
          <t>Strong Fruit 
Beer</t>
        </is>
      </c>
      <c r="D181" s="86" t="inlineStr">
        <is>
          <t>7 / - / -</t>
        </is>
      </c>
      <c r="E181" s="82" t="inlineStr">
        <is>
          <t>Насыщенная, яркая, крепкая и коварная вишенка. Сочная и спелая. Пейте с наслаждением и ответственно!</t>
        </is>
      </c>
      <c r="F181" s="86" t="inlineStr">
        <is>
          <t>ж/б 0.45 / 20</t>
        </is>
      </c>
      <c r="G181" s="116" t="inlineStr">
        <is>
          <t>12 мес.</t>
        </is>
      </c>
      <c r="H181" s="92" t="n">
        <v>249</v>
      </c>
      <c r="I181" s="92" t="inlineStr">
        <is>
          <t>много</t>
        </is>
      </c>
      <c r="J181" s="127" t="n">
        <v>1</v>
      </c>
      <c r="K181" s="127">
        <f>PRODUCT(H181,J181)</f>
        <v/>
      </c>
    </row>
    <row r="182" hidden="1" s="201">
      <c r="A182" s="196" t="inlineStr">
        <is>
          <t>DIETA</t>
        </is>
      </c>
      <c r="B182" s="83" t="inlineStr">
        <is>
          <t>В Собственном Соку: Клюква</t>
        </is>
      </c>
      <c r="C182" s="86" t="inlineStr">
        <is>
          <t>Strong Fruit 
Beer</t>
        </is>
      </c>
      <c r="D182" s="86" t="inlineStr">
        <is>
          <t>7 / - / -</t>
        </is>
      </c>
      <c r="E182" s="82" t="inlineStr">
        <is>
          <t>Насыщенная, яркая, крепкая и коварная клюковка. Сочная и спелая. Пейте с наслаждением и ответственно!</t>
        </is>
      </c>
      <c r="F182" s="86" t="inlineStr">
        <is>
          <t>ж/б 0.45 / 20</t>
        </is>
      </c>
      <c r="G182" s="116" t="inlineStr">
        <is>
          <t>12 мес.</t>
        </is>
      </c>
      <c r="H182" s="92" t="n">
        <v>249</v>
      </c>
      <c r="I182" s="92" t="inlineStr">
        <is>
          <t>много</t>
        </is>
      </c>
      <c r="J182" s="127" t="n">
        <v>1</v>
      </c>
      <c r="K182" s="127">
        <f>PRODUCT(H182,J182)</f>
        <v/>
      </c>
    </row>
    <row r="183" hidden="1" s="201">
      <c r="A183" s="196" t="inlineStr">
        <is>
          <t>DIETA</t>
        </is>
      </c>
      <c r="B183" s="83" t="inlineStr">
        <is>
          <t>Десерт В Твоем Бокале</t>
        </is>
      </c>
      <c r="C183" s="159" t="inlineStr">
        <is>
          <t>RIS</t>
        </is>
      </c>
      <c r="D183" s="86" t="inlineStr">
        <is>
          <t>11 / - / -</t>
        </is>
      </c>
      <c r="E183" s="88" t="inlineStr">
        <is>
          <t>Десертный имперский стаут.</t>
        </is>
      </c>
      <c r="F183" s="86" t="inlineStr">
        <is>
          <t>ж/б 0.33 / 20</t>
        </is>
      </c>
      <c r="G183" s="116" t="inlineStr">
        <is>
          <t>12 мес.</t>
        </is>
      </c>
      <c r="H183" s="92" t="n">
        <v>265</v>
      </c>
      <c r="I183" s="92" t="inlineStr">
        <is>
          <t>много</t>
        </is>
      </c>
      <c r="J183" s="127" t="n">
        <v>1</v>
      </c>
      <c r="K183" s="127">
        <f>PRODUCT(H183,J183)</f>
        <v/>
      </c>
    </row>
    <row r="184" hidden="1" s="201">
      <c r="A184" s="196" t="inlineStr">
        <is>
          <t>DIETA</t>
        </is>
      </c>
      <c r="B184" s="83" t="inlineStr">
        <is>
          <t>Острый Синьор Помидор</t>
        </is>
      </c>
      <c r="C184" s="86" t="inlineStr">
        <is>
          <t>Tomato Gose</t>
        </is>
      </c>
      <c r="D184" s="86" t="inlineStr">
        <is>
          <t>5 / - / -</t>
        </is>
      </c>
      <c r="E184" s="82" t="inlineStr">
        <is>
          <t>Лучший Острый Томатный Гозе.</t>
        </is>
      </c>
      <c r="F184" s="86" t="inlineStr">
        <is>
          <t>ж/б 0.45 / 20</t>
        </is>
      </c>
      <c r="G184" s="116" t="inlineStr">
        <is>
          <t>12 мес.</t>
        </is>
      </c>
      <c r="H184" s="92" t="n">
        <v>225</v>
      </c>
      <c r="I184" s="92" t="inlineStr">
        <is>
          <t>много</t>
        </is>
      </c>
      <c r="J184" s="127" t="n">
        <v>1</v>
      </c>
      <c r="K184" s="127">
        <f>PRODUCT(H184,J184)</f>
        <v/>
      </c>
    </row>
    <row r="185" hidden="1" s="201">
      <c r="A185" s="196" t="inlineStr">
        <is>
          <t>DIETA</t>
        </is>
      </c>
      <c r="B185" s="83" t="inlineStr">
        <is>
          <t>Синьор Помидор и Братец Базилик</t>
        </is>
      </c>
      <c r="C185" s="86" t="inlineStr">
        <is>
          <t>Tomato Gose</t>
        </is>
      </c>
      <c r="D185" s="86" t="inlineStr">
        <is>
          <t>5 / - / -</t>
        </is>
      </c>
      <c r="E185" s="82" t="inlineStr">
        <is>
          <t>Лучший Томатный Гозе с Базиликом.</t>
        </is>
      </c>
      <c r="F185" s="86" t="inlineStr">
        <is>
          <t>ж/б 0.45 / 20</t>
        </is>
      </c>
      <c r="G185" s="116" t="inlineStr">
        <is>
          <t>12 мес.</t>
        </is>
      </c>
      <c r="H185" s="92" t="n">
        <v>225</v>
      </c>
      <c r="I185" s="92" t="inlineStr">
        <is>
          <t>много</t>
        </is>
      </c>
      <c r="J185" s="127" t="n">
        <v>1</v>
      </c>
      <c r="K185" s="127">
        <f>PRODUCT(H185,J185)</f>
        <v/>
      </c>
    </row>
    <row r="186" hidden="1" s="201">
      <c r="A186" s="196" t="inlineStr">
        <is>
          <t>DIETA</t>
        </is>
      </c>
      <c r="B186" s="83" t="inlineStr">
        <is>
          <t>Синьор Помидор и Друг Его Тимьян</t>
        </is>
      </c>
      <c r="C186" s="86" t="inlineStr">
        <is>
          <t>Tomato Gose</t>
        </is>
      </c>
      <c r="D186" s="86" t="inlineStr">
        <is>
          <t>5 / - / -</t>
        </is>
      </c>
      <c r="E186" s="82" t="inlineStr">
        <is>
          <t>Лучший Томатный Гозе с Тимьяном!</t>
        </is>
      </c>
      <c r="F186" s="86" t="inlineStr">
        <is>
          <t>ж/б 0.45 / 20</t>
        </is>
      </c>
      <c r="G186" s="116" t="inlineStr">
        <is>
          <t>12 мес.</t>
        </is>
      </c>
      <c r="H186" s="92" t="n">
        <v>225</v>
      </c>
      <c r="I186" s="92" t="inlineStr">
        <is>
          <t>много</t>
        </is>
      </c>
      <c r="J186" s="127" t="n">
        <v>1</v>
      </c>
      <c r="K186" s="127">
        <f>PRODUCT(H186,J186)</f>
        <v/>
      </c>
    </row>
    <row r="187" hidden="1" s="201">
      <c r="A187" s="196" t="inlineStr">
        <is>
          <t>DIETA</t>
        </is>
      </c>
      <c r="B187" s="83" t="inlineStr">
        <is>
          <t>Drink ‘Em All</t>
        </is>
      </c>
      <c r="C187" s="86" t="inlineStr">
        <is>
          <t>Bohemian Pilsner</t>
        </is>
      </c>
      <c r="D187" s="86" t="inlineStr">
        <is>
          <t>4,5 / - / -</t>
        </is>
      </c>
      <c r="E187" s="82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7" s="86" t="inlineStr">
        <is>
          <t>ж/б 0.45 / 20</t>
        </is>
      </c>
      <c r="G187" s="116" t="inlineStr">
        <is>
          <t>12 мес.</t>
        </is>
      </c>
      <c r="H187" s="92" t="n">
        <v>215</v>
      </c>
      <c r="I187" s="92" t="inlineStr">
        <is>
          <t>много</t>
        </is>
      </c>
      <c r="J187" s="127" t="n">
        <v>1</v>
      </c>
      <c r="K187" s="127">
        <f>PRODUCT(H187,J187)</f>
        <v/>
      </c>
    </row>
    <row r="188" hidden="1" s="201">
      <c r="A188" s="196" t="inlineStr">
        <is>
          <t>DIETA</t>
        </is>
      </c>
      <c r="B188" s="83" t="inlineStr">
        <is>
          <t>Hot Smoothie You Deserve: Mango</t>
        </is>
      </c>
      <c r="C188" s="86" t="inlineStr">
        <is>
          <t>Smoothie Sour</t>
        </is>
      </c>
      <c r="D188" s="86" t="inlineStr">
        <is>
          <t>7 / - / -</t>
        </is>
      </c>
      <c r="E188" s="82" t="inlineStr">
        <is>
          <t>Острый smoothie sour манго/чили.</t>
        </is>
      </c>
      <c r="F188" s="86" t="inlineStr">
        <is>
          <t>ж/б 0.45 / 20</t>
        </is>
      </c>
      <c r="G188" s="116" t="inlineStr">
        <is>
          <t>12 мес.</t>
        </is>
      </c>
      <c r="H188" s="92" t="n">
        <v>265</v>
      </c>
      <c r="I188" s="92" t="inlineStr">
        <is>
          <t>много</t>
        </is>
      </c>
      <c r="J188" s="127" t="n">
        <v>1</v>
      </c>
      <c r="K188" s="127">
        <f>PRODUCT(H188,J188)</f>
        <v/>
      </c>
    </row>
    <row r="189" hidden="1" s="201">
      <c r="A189" s="196" t="inlineStr">
        <is>
          <t>DIETA</t>
        </is>
      </c>
      <c r="B189" s="83" t="inlineStr">
        <is>
          <t>ISO FUCKING TONIC</t>
        </is>
      </c>
      <c r="C189" s="86" t="inlineStr">
        <is>
          <t>Gose</t>
        </is>
      </c>
      <c r="D189" s="86" t="inlineStr">
        <is>
          <t>4,6 / - / -</t>
        </is>
      </c>
      <c r="E189" s="82" t="inlineStr">
        <is>
          <t>Гозе с лаймом и розмарином. Максимально фунцкциональный, бодрящий и вкусный!</t>
        </is>
      </c>
      <c r="F189" s="86" t="inlineStr">
        <is>
          <t>ж/б 0.45 / 20</t>
        </is>
      </c>
      <c r="G189" s="116" t="inlineStr">
        <is>
          <t>12 мес.</t>
        </is>
      </c>
      <c r="H189" s="92" t="n">
        <v>239</v>
      </c>
      <c r="I189" s="92" t="inlineStr">
        <is>
          <t>много</t>
        </is>
      </c>
      <c r="J189" s="127" t="n">
        <v>1</v>
      </c>
      <c r="K189" s="127">
        <f>PRODUCT(H189,J189)</f>
        <v/>
      </c>
    </row>
    <row r="190" hidden="1" s="201">
      <c r="A190" s="196" t="inlineStr">
        <is>
          <t>DIETA</t>
        </is>
      </c>
      <c r="B190" s="83" t="inlineStr">
        <is>
          <t>Seven Lands</t>
        </is>
      </c>
      <c r="C190" s="159" t="inlineStr">
        <is>
          <t>RIS</t>
        </is>
      </c>
      <c r="D190" s="86" t="inlineStr">
        <is>
          <t>11 / - / -</t>
        </is>
      </c>
      <c r="E190" s="82" t="inlineStr">
        <is>
          <t>Russian Imperial Stout, приуроченный к семилетию DIETA.</t>
        </is>
      </c>
      <c r="F190" s="86" t="inlineStr">
        <is>
          <t>ж/б 0.33 / 20</t>
        </is>
      </c>
      <c r="G190" s="116" t="inlineStr">
        <is>
          <t>12 мес.</t>
        </is>
      </c>
      <c r="H190" s="92" t="n">
        <v>265</v>
      </c>
      <c r="I190" s="92" t="inlineStr">
        <is>
          <t>много</t>
        </is>
      </c>
      <c r="J190" s="127" t="n">
        <v>1</v>
      </c>
      <c r="K190" s="127">
        <f>PRODUCT(H190,J190)</f>
        <v/>
      </c>
    </row>
    <row r="191" hidden="1" s="201">
      <c r="A191" s="196" t="inlineStr">
        <is>
          <t>DIETA</t>
        </is>
      </c>
      <c r="B191" s="83" t="inlineStr">
        <is>
          <t>Seven Seas</t>
        </is>
      </c>
      <c r="C191" s="86" t="inlineStr">
        <is>
          <t>Gose</t>
        </is>
      </c>
      <c r="D191" s="86" t="inlineStr">
        <is>
          <t>4,5 / - / -</t>
        </is>
      </c>
      <c r="E191" s="82" t="inlineStr">
        <is>
          <t>Классический гозе, приуроченный к семилетию DIETA.</t>
        </is>
      </c>
      <c r="F191" s="86" t="inlineStr">
        <is>
          <t>ж/б 0.45 / 20</t>
        </is>
      </c>
      <c r="G191" s="116" t="inlineStr">
        <is>
          <t>12 мес.</t>
        </is>
      </c>
      <c r="H191" s="92" t="n">
        <v>215</v>
      </c>
      <c r="I191" s="92" t="inlineStr">
        <is>
          <t>много</t>
        </is>
      </c>
      <c r="J191" s="127" t="n">
        <v>1</v>
      </c>
      <c r="K191" s="127">
        <f>PRODUCT(H191,J191)</f>
        <v/>
      </c>
    </row>
    <row r="192" hidden="1" s="201">
      <c r="A192" s="196" t="inlineStr">
        <is>
          <t>DIETA</t>
        </is>
      </c>
      <c r="B192" s="83" t="inlineStr">
        <is>
          <t>Tropical Domination</t>
        </is>
      </c>
      <c r="C192" s="86" t="inlineStr">
        <is>
          <t>Smoothie Sour</t>
        </is>
      </c>
      <c r="D192" s="86" t="inlineStr">
        <is>
          <t>7 / - / -</t>
        </is>
      </c>
      <c r="E192" s="88" t="inlineStr">
        <is>
          <t>Smoothie sour с розовой гуавой, персиком и манго.</t>
        </is>
      </c>
      <c r="F192" s="86" t="inlineStr">
        <is>
          <t>ж/б 0.45 / 20</t>
        </is>
      </c>
      <c r="G192" s="116" t="inlineStr">
        <is>
          <t>12 мес.</t>
        </is>
      </c>
      <c r="H192" s="92" t="n">
        <v>265</v>
      </c>
      <c r="I192" s="92" t="inlineStr">
        <is>
          <t>много</t>
        </is>
      </c>
      <c r="J192" s="127" t="n">
        <v>0</v>
      </c>
      <c r="K192" s="127">
        <f>PRODUCT(H192,J192)</f>
        <v/>
      </c>
    </row>
    <row r="193" hidden="1" s="201">
      <c r="A193" s="90" t="inlineStr">
        <is>
          <t>Gas Brew г. Санкт-Петербург</t>
        </is>
      </c>
      <c r="B193" s="202" t="n"/>
      <c r="C193" s="202" t="n"/>
      <c r="D193" s="202" t="n"/>
      <c r="E193" s="202" t="n"/>
      <c r="F193" s="202" t="n"/>
      <c r="G193" s="202" t="n"/>
      <c r="H193" s="202" t="n"/>
      <c r="I193" s="203" t="n"/>
      <c r="J193" s="90" t="n">
        <v>1</v>
      </c>
      <c r="K193" s="90" t="n"/>
    </row>
    <row r="194" hidden="1" s="201">
      <c r="A194" s="192" t="inlineStr">
        <is>
          <t>Gas Brew</t>
        </is>
      </c>
      <c r="B194" s="83" t="inlineStr">
        <is>
          <t>Hidden Garden #6</t>
        </is>
      </c>
      <c r="C194" s="86" t="inlineStr">
        <is>
          <t>Sour Ale</t>
        </is>
      </c>
      <c r="D194" s="86" t="inlineStr">
        <is>
          <t>5 / - / -</t>
        </is>
      </c>
      <c r="E194" s="88" t="inlineStr">
        <is>
          <t>НЕ СМУЗИ. Саур с Черной смородиной и Базиликом.</t>
        </is>
      </c>
      <c r="F194" s="86" t="inlineStr">
        <is>
          <t>ж/б 0.45 / 20</t>
        </is>
      </c>
      <c r="G194" s="116" t="inlineStr">
        <is>
          <t>12 мес.</t>
        </is>
      </c>
      <c r="H194" s="92" t="n">
        <v>209</v>
      </c>
      <c r="I194" s="76" t="n">
        <v>8</v>
      </c>
      <c r="J194" s="127" t="n">
        <v>1</v>
      </c>
      <c r="K194" s="127">
        <f>PRODUCT(H194,J194)</f>
        <v/>
      </c>
    </row>
    <row r="195" hidden="1" s="201">
      <c r="A195" s="192" t="inlineStr">
        <is>
          <t>Gas Brew</t>
        </is>
      </c>
      <c r="B195" s="83" t="inlineStr">
        <is>
          <t>Northern Nomad</t>
        </is>
      </c>
      <c r="C195" s="86" t="inlineStr">
        <is>
          <t>Sour Ale</t>
        </is>
      </c>
      <c r="D195" s="86" t="inlineStr">
        <is>
          <t>5,1 / - / -</t>
        </is>
      </c>
      <c r="E195" s="82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5" s="86" t="inlineStr">
        <is>
          <t>ж/б 0.45 / 20</t>
        </is>
      </c>
      <c r="G195" s="116" t="inlineStr">
        <is>
          <t>12 мес.</t>
        </is>
      </c>
      <c r="H195" s="92" t="n">
        <v>229</v>
      </c>
      <c r="I195" s="76" t="n">
        <v>1</v>
      </c>
      <c r="J195" s="127" t="n">
        <v>1</v>
      </c>
      <c r="K195" s="127">
        <f>PRODUCT(H195,J195)</f>
        <v/>
      </c>
    </row>
    <row r="196" hidden="1" s="201">
      <c r="A196" s="192" t="inlineStr">
        <is>
          <t>Gas Brew</t>
        </is>
      </c>
      <c r="B196" s="83" t="inlineStr">
        <is>
          <t>Summertime IPA</t>
        </is>
      </c>
      <c r="C196" s="86" t="inlineStr">
        <is>
          <t>WC IPA</t>
        </is>
      </c>
      <c r="D196" s="86" t="inlineStr">
        <is>
          <t>6 / - / -</t>
        </is>
      </c>
      <c r="E196" s="82" t="inlineStr">
        <is>
          <t>Классический West Coast IPA сваренный в коллаборации с пивоварней HOBOS. Яркий характер, питкость и узнаваемый вкус делают этот напиток идеальным компаньоном человека, выбравшего каменные джунгли. Citra × Mosaic × Nectaron.</t>
        </is>
      </c>
      <c r="F196" s="86" t="inlineStr">
        <is>
          <t>ж/б 0.45 / 20</t>
        </is>
      </c>
      <c r="G196" s="116" t="inlineStr">
        <is>
          <t>12 мес.</t>
        </is>
      </c>
      <c r="H196" s="92" t="n">
        <v>245</v>
      </c>
      <c r="I196" s="76" t="n">
        <v>4</v>
      </c>
      <c r="J196" s="127" t="n">
        <v>0</v>
      </c>
      <c r="K196" s="127">
        <f>PRODUCT(H196,J196)</f>
        <v/>
      </c>
    </row>
    <row r="197" hidden="1" s="201">
      <c r="A197" s="90" t="inlineStr">
        <is>
          <t>Horror Brewing г. Москва</t>
        </is>
      </c>
      <c r="B197" s="202" t="n"/>
      <c r="C197" s="202" t="n"/>
      <c r="D197" s="202" t="n"/>
      <c r="E197" s="202" t="n"/>
      <c r="F197" s="202" t="n"/>
      <c r="G197" s="202" t="n"/>
      <c r="H197" s="202" t="n"/>
      <c r="I197" s="203" t="n"/>
      <c r="J197" s="90" t="n">
        <v>1</v>
      </c>
      <c r="K197" s="90" t="n"/>
    </row>
    <row r="198" hidden="1" s="201">
      <c r="A198" s="192" t="inlineStr">
        <is>
          <t>Horror</t>
        </is>
      </c>
      <c r="B198" s="83" t="inlineStr">
        <is>
          <t>Голова</t>
        </is>
      </c>
      <c r="C198" s="159" t="inlineStr">
        <is>
          <t>Barleywine</t>
        </is>
      </c>
      <c r="D198" s="86" t="inlineStr">
        <is>
          <t>11 / 24 / -</t>
        </is>
      </c>
      <c r="E198" s="152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198" s="86" t="inlineStr">
        <is>
          <t>ж/б 0.45 / 20</t>
        </is>
      </c>
      <c r="G198" s="116" t="inlineStr">
        <is>
          <t>12 мес.</t>
        </is>
      </c>
      <c r="H198" s="92" t="n">
        <v>339</v>
      </c>
      <c r="I198" s="92" t="inlineStr">
        <is>
          <t>много</t>
        </is>
      </c>
      <c r="J198" s="127" t="n">
        <v>1</v>
      </c>
      <c r="K198" s="127">
        <f>PRODUCT(H198,J198)</f>
        <v/>
      </c>
    </row>
    <row r="199" hidden="1" s="201">
      <c r="A199" s="192" t="inlineStr">
        <is>
          <t>Horror</t>
        </is>
      </c>
      <c r="B199" s="83" t="inlineStr">
        <is>
          <t>A Night In The Lonesome October</t>
        </is>
      </c>
      <c r="C199" s="159" t="inlineStr">
        <is>
          <t>APA</t>
        </is>
      </c>
      <c r="D199" s="86" t="inlineStr">
        <is>
          <t>5,4 / 14 / -</t>
        </is>
      </c>
      <c r="E199" s="152" t="inlineStr">
        <is>
          <t>American Pale Ale w/ Cascade, Citra &amp; Centennial. Поздравляем бар Craft Republic с их 11 летием. Ура!</t>
        </is>
      </c>
      <c r="F199" s="86" t="inlineStr">
        <is>
          <t>ж/б 0.45 / 20</t>
        </is>
      </c>
      <c r="G199" s="116" t="inlineStr">
        <is>
          <t>12 мес.</t>
        </is>
      </c>
      <c r="H199" s="92" t="n">
        <v>239</v>
      </c>
      <c r="I199" s="127" t="inlineStr">
        <is>
          <t>новинка</t>
        </is>
      </c>
      <c r="J199" s="127" t="n">
        <v>1</v>
      </c>
      <c r="K199" s="127">
        <f>PRODUCT(H199,J199)</f>
        <v/>
      </c>
    </row>
    <row r="200" hidden="1" s="201">
      <c r="A200" s="192" t="inlineStr">
        <is>
          <t>Horror</t>
        </is>
      </c>
      <c r="B200" s="83" t="inlineStr">
        <is>
          <t>Festival Destroyer</t>
        </is>
      </c>
      <c r="C200" s="159" t="inlineStr">
        <is>
          <t>Double Stout</t>
        </is>
      </c>
      <c r="D200" s="86" t="inlineStr">
        <is>
          <t xml:space="preserve">9 / 22 - </t>
        </is>
      </c>
      <c r="E200" s="152" t="inlineStr">
        <is>
          <t>Двойной овсяный стаут - сухой, без каких либо добавок, 9%.</t>
        </is>
      </c>
      <c r="F200" s="86" t="inlineStr">
        <is>
          <t>ж/б 0.45 / 20</t>
        </is>
      </c>
      <c r="G200" s="116" t="inlineStr">
        <is>
          <t>12 мес.</t>
        </is>
      </c>
      <c r="H200" s="92" t="n">
        <v>289</v>
      </c>
      <c r="I200" s="92" t="inlineStr">
        <is>
          <t>много</t>
        </is>
      </c>
      <c r="J200" s="127" t="n">
        <v>1</v>
      </c>
      <c r="K200" s="127">
        <f>PRODUCT(H200,J200)</f>
        <v/>
      </c>
    </row>
    <row r="201" hidden="1" s="201">
      <c r="A201" s="192" t="inlineStr">
        <is>
          <t>Horror</t>
        </is>
      </c>
      <c r="B201" s="83" t="inlineStr">
        <is>
          <t>Midnight Beast</t>
        </is>
      </c>
      <c r="C201" s="159" t="inlineStr">
        <is>
          <t>American Wheat Ale</t>
        </is>
      </c>
      <c r="D201" s="86" t="inlineStr">
        <is>
          <t>5,5 / 14 / -</t>
        </is>
      </c>
      <c r="E201" s="152" t="inlineStr">
        <is>
          <t>Освежающий американ фит эль с большим количеством новозеландского хмеля Galaxy.</t>
        </is>
      </c>
      <c r="F201" s="86" t="inlineStr">
        <is>
          <t>ж/б 0.45 / 20</t>
        </is>
      </c>
      <c r="G201" s="116" t="inlineStr">
        <is>
          <t>12 мес.</t>
        </is>
      </c>
      <c r="H201" s="92" t="n">
        <v>279</v>
      </c>
      <c r="I201" s="92" t="inlineStr">
        <is>
          <t>много</t>
        </is>
      </c>
      <c r="J201" s="127" t="n">
        <v>1</v>
      </c>
      <c r="K201" s="127">
        <f>PRODUCT(H201,J201)</f>
        <v/>
      </c>
    </row>
    <row r="202" hidden="1" s="201">
      <c r="A202" s="192" t="inlineStr">
        <is>
          <t>Horror</t>
        </is>
      </c>
      <c r="B202" s="83" t="inlineStr">
        <is>
          <t>Tripod</t>
        </is>
      </c>
      <c r="C202" s="62" t="inlineStr">
        <is>
          <t>English Pale Ale</t>
        </is>
      </c>
      <c r="D202" s="62" t="inlineStr">
        <is>
          <t>5,5 / 12 / -</t>
        </is>
      </c>
      <c r="E202" s="91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2" s="62" t="inlineStr">
        <is>
          <t>ж/б 0.45 / 20</t>
        </is>
      </c>
      <c r="G202" s="79" t="inlineStr">
        <is>
          <t>12 мес.</t>
        </is>
      </c>
      <c r="H202" s="93" t="n">
        <v>255</v>
      </c>
      <c r="I202" s="48" t="n">
        <v>9</v>
      </c>
      <c r="J202" s="127" t="n">
        <v>0</v>
      </c>
      <c r="K202" s="127">
        <f>PRODUCT(H202,J202)</f>
        <v/>
      </c>
    </row>
    <row r="203" hidden="1" s="201">
      <c r="A203" s="54" t="inlineStr">
        <is>
          <t>Khoffner Brewery г. Санкт-Петербург</t>
        </is>
      </c>
      <c r="B203" s="202" t="n"/>
      <c r="C203" s="202" t="n"/>
      <c r="D203" s="202" t="n"/>
      <c r="E203" s="202" t="n"/>
      <c r="F203" s="202" t="n"/>
      <c r="G203" s="202" t="n"/>
      <c r="H203" s="202" t="n"/>
      <c r="I203" s="203" t="n"/>
      <c r="J203" s="54" t="n">
        <v>1</v>
      </c>
      <c r="K203" s="54" t="n"/>
    </row>
    <row r="204" hidden="1" ht="43.5" customHeight="1" s="201">
      <c r="A204" s="192" t="inlineStr">
        <is>
          <t>Khoffner</t>
        </is>
      </c>
      <c r="B204" s="83" t="inlineStr">
        <is>
          <t>Выдыхай</t>
        </is>
      </c>
      <c r="C204" s="86" t="inlineStr">
        <is>
          <t>Saison</t>
        </is>
      </c>
      <c r="D204" s="86" t="inlineStr">
        <is>
          <t>5,5 / 11,4 / 19</t>
        </is>
      </c>
      <c r="E204" s="82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4" s="86" t="inlineStr">
        <is>
          <t>ж/б 0.45 / 20</t>
        </is>
      </c>
      <c r="G204" s="116" t="inlineStr">
        <is>
          <t>12 мес.</t>
        </is>
      </c>
      <c r="H204" s="92" t="n">
        <v>215</v>
      </c>
      <c r="I204" s="93" t="inlineStr">
        <is>
          <t>много</t>
        </is>
      </c>
      <c r="J204" s="127" t="n">
        <v>1</v>
      </c>
      <c r="K204" s="127">
        <f>PRODUCT(H204,J204)</f>
        <v/>
      </c>
    </row>
    <row r="205" hidden="1" ht="43.5" customHeight="1" s="201">
      <c r="A205" s="192" t="inlineStr">
        <is>
          <t>Khoffner</t>
        </is>
      </c>
      <c r="B205" s="83" t="inlineStr">
        <is>
          <t>Добро</t>
        </is>
      </c>
      <c r="C205" s="86" t="inlineStr">
        <is>
          <t>Sour Ale</t>
        </is>
      </c>
      <c r="D205" s="86" t="inlineStr">
        <is>
          <t>6 / - / -</t>
        </is>
      </c>
      <c r="E205" s="82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5" s="86" t="inlineStr">
        <is>
          <t>ж/б 0.45 / 20</t>
        </is>
      </c>
      <c r="G205" s="116" t="inlineStr">
        <is>
          <t>12 мес.</t>
        </is>
      </c>
      <c r="H205" s="92" t="n">
        <v>225</v>
      </c>
      <c r="I205" s="93" t="inlineStr">
        <is>
          <t>много</t>
        </is>
      </c>
      <c r="J205" s="127" t="n">
        <v>1</v>
      </c>
      <c r="K205" s="127">
        <f>PRODUCT(H205,J205)</f>
        <v/>
      </c>
    </row>
    <row r="206" hidden="1" ht="43.5" customHeight="1" s="201">
      <c r="A206" s="192" t="inlineStr">
        <is>
          <t>Khoffner</t>
        </is>
      </c>
      <c r="B206" s="83" t="inlineStr">
        <is>
          <t>Неизбежность</t>
        </is>
      </c>
      <c r="C206" s="62" t="inlineStr">
        <is>
          <t>Sour Ale</t>
        </is>
      </c>
      <c r="D206" s="62" t="inlineStr">
        <is>
          <t>6 / 17 / -</t>
        </is>
      </c>
      <c r="E206" s="18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6" s="62" t="inlineStr">
        <is>
          <t>ж/б 0.45 / 20</t>
        </is>
      </c>
      <c r="G206" s="79" t="inlineStr">
        <is>
          <t>12 мес.</t>
        </is>
      </c>
      <c r="H206" s="93" t="n">
        <v>235</v>
      </c>
      <c r="I206" s="48" t="n">
        <v>9</v>
      </c>
      <c r="J206" s="127" t="n">
        <v>1</v>
      </c>
      <c r="K206" s="127">
        <f>PRODUCT(H206,J206)</f>
        <v/>
      </c>
    </row>
    <row r="207" hidden="1" s="201">
      <c r="A207" s="192" t="inlineStr">
        <is>
          <t>Khoffner</t>
        </is>
      </c>
      <c r="B207" s="85" t="inlineStr">
        <is>
          <t>Твой хороший мальчик</t>
        </is>
      </c>
      <c r="C207" s="86" t="inlineStr">
        <is>
          <t>Sour Ale</t>
        </is>
      </c>
      <c r="D207" s="86" t="inlineStr">
        <is>
          <t>6 / 17 / -</t>
        </is>
      </c>
      <c r="E207" s="82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7" s="86" t="inlineStr">
        <is>
          <t>ж/б 0.45 / 20</t>
        </is>
      </c>
      <c r="G207" s="116" t="inlineStr">
        <is>
          <t>12 мес.</t>
        </is>
      </c>
      <c r="H207" s="92" t="n">
        <v>225</v>
      </c>
      <c r="I207" s="93" t="inlineStr">
        <is>
          <t>много</t>
        </is>
      </c>
      <c r="J207" s="127" t="n">
        <v>1</v>
      </c>
      <c r="K207" s="127">
        <f>PRODUCT(H207,J207)</f>
        <v/>
      </c>
    </row>
    <row r="208" hidden="1" s="201">
      <c r="A208" s="192" t="inlineStr">
        <is>
          <t>Khoffner</t>
        </is>
      </c>
      <c r="B208" s="85" t="inlineStr">
        <is>
          <t>Borgata</t>
        </is>
      </c>
      <c r="C208" s="86" t="inlineStr">
        <is>
          <t>Stout</t>
        </is>
      </c>
      <c r="D208" s="86" t="inlineStr">
        <is>
          <t>5,5 / 13,8 / 24</t>
        </is>
      </c>
      <c r="E208" s="82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08" s="86" t="inlineStr">
        <is>
          <t>ж/б 0.45 / 20</t>
        </is>
      </c>
      <c r="G208" s="116" t="inlineStr">
        <is>
          <t>12 мес.</t>
        </is>
      </c>
      <c r="H208" s="92" t="n">
        <v>205</v>
      </c>
      <c r="I208" s="92" t="inlineStr">
        <is>
          <t>много</t>
        </is>
      </c>
      <c r="J208" s="127" t="n">
        <v>1</v>
      </c>
      <c r="K208" s="127">
        <f>PRODUCT(H208,J208)</f>
        <v/>
      </c>
    </row>
    <row r="209" hidden="1" s="201">
      <c r="A209" s="192" t="inlineStr">
        <is>
          <t>Khoffner</t>
        </is>
      </c>
      <c r="B209" s="83" t="inlineStr">
        <is>
          <t>Days Sober 00</t>
        </is>
      </c>
      <c r="C209" s="86" t="inlineStr">
        <is>
          <t>IPA</t>
        </is>
      </c>
      <c r="D209" s="86" t="inlineStr">
        <is>
          <t>5,8 / 16,1 / 52</t>
        </is>
      </c>
      <c r="E209" s="82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09" s="86" t="inlineStr">
        <is>
          <t>ж/б 0.45 / 20</t>
        </is>
      </c>
      <c r="G209" s="116" t="inlineStr">
        <is>
          <t>12 мес.</t>
        </is>
      </c>
      <c r="H209" s="92" t="n">
        <v>235</v>
      </c>
      <c r="I209" s="92" t="inlineStr">
        <is>
          <t>много</t>
        </is>
      </c>
      <c r="J209" s="127" t="n">
        <v>1</v>
      </c>
      <c r="K209" s="127">
        <f>PRODUCT(H209,J209)</f>
        <v/>
      </c>
    </row>
    <row r="210" hidden="1" s="201">
      <c r="A210" s="192" t="inlineStr">
        <is>
          <t>Khoffner</t>
        </is>
      </c>
      <c r="B210" s="83" t="inlineStr">
        <is>
          <t>Hungry Artist</t>
        </is>
      </c>
      <c r="C210" s="79" t="inlineStr">
        <is>
          <t>Smoothie</t>
        </is>
      </c>
      <c r="D210" s="62" t="inlineStr">
        <is>
          <t>6 / 17 / -</t>
        </is>
      </c>
      <c r="E210" s="18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0" s="62" t="inlineStr">
        <is>
          <t>ж/б 0.45 / 20</t>
        </is>
      </c>
      <c r="G210" s="79" t="inlineStr">
        <is>
          <t>12 мес.</t>
        </is>
      </c>
      <c r="H210" s="93" t="n">
        <v>205</v>
      </c>
      <c r="I210" s="93" t="inlineStr">
        <is>
          <t>много</t>
        </is>
      </c>
      <c r="J210" s="127" t="n">
        <v>1</v>
      </c>
      <c r="K210" s="127">
        <f>PRODUCT(H210,J210)</f>
        <v/>
      </c>
    </row>
    <row r="211" hidden="1" s="201">
      <c r="A211" s="192" t="inlineStr">
        <is>
          <t>Khoffner</t>
        </is>
      </c>
      <c r="B211" s="85" t="inlineStr">
        <is>
          <t>Lagerline</t>
        </is>
      </c>
      <c r="C211" s="86" t="inlineStr">
        <is>
          <t>Hopped Lager</t>
        </is>
      </c>
      <c r="D211" s="86" t="inlineStr">
        <is>
          <t>4,7 / 11,5 / 27</t>
        </is>
      </c>
      <c r="E211" s="82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1" s="86" t="inlineStr">
        <is>
          <t>ж/б 0.45 / 20</t>
        </is>
      </c>
      <c r="G211" s="116" t="inlineStr">
        <is>
          <t>12 мес.</t>
        </is>
      </c>
      <c r="H211" s="92" t="n">
        <v>205</v>
      </c>
      <c r="I211" s="93" t="inlineStr">
        <is>
          <t>много</t>
        </is>
      </c>
      <c r="J211" s="127" t="n">
        <v>1</v>
      </c>
      <c r="K211" s="127">
        <f>PRODUCT(H211,J211)</f>
        <v/>
      </c>
    </row>
    <row r="212" hidden="1" s="201">
      <c r="A212" s="192" t="inlineStr">
        <is>
          <t>Khoffner</t>
        </is>
      </c>
      <c r="B212" s="83" t="inlineStr">
        <is>
          <t>La Lucha Libre</t>
        </is>
      </c>
      <c r="C212" s="86" t="inlineStr">
        <is>
          <t>Mexican Lager</t>
        </is>
      </c>
      <c r="D212" s="86" t="inlineStr">
        <is>
          <t>4,2 / 10,1 / 18</t>
        </is>
      </c>
      <c r="E212" s="82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2" s="112" t="inlineStr">
        <is>
          <t>бут 0.33 / 20</t>
        </is>
      </c>
      <c r="G212" s="116" t="inlineStr">
        <is>
          <t>12 мес.</t>
        </is>
      </c>
      <c r="H212" s="92" t="n">
        <v>145</v>
      </c>
      <c r="I212" s="92" t="inlineStr">
        <is>
          <t>много</t>
        </is>
      </c>
      <c r="J212" s="127" t="n">
        <v>1</v>
      </c>
      <c r="K212" s="127">
        <f>PRODUCT(H212,J212)</f>
        <v/>
      </c>
    </row>
    <row r="213" hidden="1" s="201">
      <c r="A213" s="192" t="inlineStr">
        <is>
          <t>Khoffner</t>
        </is>
      </c>
      <c r="B213" s="83" t="inlineStr">
        <is>
          <t>La Lucha Libre Extra</t>
        </is>
      </c>
      <c r="C213" s="86" t="inlineStr">
        <is>
          <t>Mexican Lager</t>
        </is>
      </c>
      <c r="D213" s="86" t="inlineStr">
        <is>
          <t>4,2 / 10,1 / 18</t>
        </is>
      </c>
      <c r="E213" s="82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3" s="112" t="inlineStr">
        <is>
          <t>бут 0.33 / 20</t>
        </is>
      </c>
      <c r="G213" s="116" t="inlineStr">
        <is>
          <t>12 мес.</t>
        </is>
      </c>
      <c r="H213" s="92" t="n">
        <v>155</v>
      </c>
      <c r="I213" s="92" t="inlineStr">
        <is>
          <t>много</t>
        </is>
      </c>
      <c r="J213" s="127" t="n">
        <v>1</v>
      </c>
      <c r="K213" s="127">
        <f>PRODUCT(H213,J213)</f>
        <v/>
      </c>
    </row>
    <row r="214" hidden="1" s="201">
      <c r="A214" s="192" t="inlineStr">
        <is>
          <t>Khoffner</t>
        </is>
      </c>
      <c r="B214" s="83" t="inlineStr">
        <is>
          <t>NEIPAТЬ КОЛОТИТЬ</t>
        </is>
      </c>
      <c r="C214" s="62" t="inlineStr">
        <is>
          <t>NE IPA</t>
        </is>
      </c>
      <c r="D214" s="62" t="inlineStr">
        <is>
          <t xml:space="preserve">5,8 / 16 / - </t>
        </is>
      </c>
      <c r="E214" s="18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4" s="62" t="inlineStr">
        <is>
          <t>ж/б 0.45 / 20</t>
        </is>
      </c>
      <c r="G214" s="79" t="inlineStr">
        <is>
          <t>12 мес.</t>
        </is>
      </c>
      <c r="H214" s="93" t="n">
        <v>309</v>
      </c>
      <c r="I214" s="93" t="inlineStr">
        <is>
          <t>много</t>
        </is>
      </c>
      <c r="J214" s="127" t="n">
        <v>1</v>
      </c>
      <c r="K214" s="127">
        <f>PRODUCT(H214,J214)</f>
        <v/>
      </c>
    </row>
    <row r="215" hidden="1" s="201">
      <c r="A215" s="192" t="inlineStr">
        <is>
          <t>Khoffner</t>
        </is>
      </c>
      <c r="B215" s="83" t="inlineStr">
        <is>
          <t>Tripel Monke</t>
        </is>
      </c>
      <c r="C215" s="62" t="inlineStr">
        <is>
          <t>Belgian Tripel</t>
        </is>
      </c>
      <c r="D215" s="62" t="inlineStr">
        <is>
          <t>9,5 / 22,5 / -</t>
        </is>
      </c>
      <c r="E215" s="18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5" s="62" t="inlineStr">
        <is>
          <t>ж/б 0.5 / 12</t>
        </is>
      </c>
      <c r="G215" s="79" t="inlineStr">
        <is>
          <t>12 мес.</t>
        </is>
      </c>
      <c r="H215" s="93" t="n">
        <v>249</v>
      </c>
      <c r="I215" s="93" t="inlineStr">
        <is>
          <t>много</t>
        </is>
      </c>
      <c r="J215" s="127" t="n">
        <v>0</v>
      </c>
      <c r="K215" s="127">
        <f>PRODUCT(H215,J215)</f>
        <v/>
      </c>
    </row>
    <row r="216" hidden="1" s="201">
      <c r="A216" s="95" t="inlineStr">
        <is>
          <t>Mantra г. Санкт-Петербург</t>
        </is>
      </c>
      <c r="B216" s="202" t="n"/>
      <c r="C216" s="202" t="n"/>
      <c r="D216" s="202" t="n"/>
      <c r="E216" s="202" t="n"/>
      <c r="F216" s="202" t="n"/>
      <c r="G216" s="202" t="n"/>
      <c r="H216" s="202" t="n"/>
      <c r="I216" s="203" t="n"/>
      <c r="J216" s="95" t="n">
        <v>1</v>
      </c>
      <c r="K216" s="95" t="n"/>
    </row>
    <row r="217" hidden="1" s="201">
      <c r="A217" s="192" t="inlineStr">
        <is>
          <t>Mantra</t>
        </is>
      </c>
      <c r="B217" s="32" t="inlineStr">
        <is>
          <t>Сheesecake Point: Blueberry, Banana &amp; Almond</t>
        </is>
      </c>
      <c r="C217" s="75" t="inlineStr">
        <is>
          <t>Sour Ale</t>
        </is>
      </c>
      <c r="D217" s="75" t="inlineStr">
        <is>
          <t>6,5 / - / -</t>
        </is>
      </c>
      <c r="E217" s="98" t="inlineStr">
        <is>
          <t>Чизкейк с черникой, бананом, ванильным кремом и миндальным сиропом.</t>
        </is>
      </c>
      <c r="F217" s="86" t="inlineStr">
        <is>
          <t>ж/б 0.45 / 20</t>
        </is>
      </c>
      <c r="G217" s="116" t="inlineStr">
        <is>
          <t>12 мес.</t>
        </is>
      </c>
      <c r="H217" s="57" t="n">
        <v>299</v>
      </c>
      <c r="I217" s="76" t="n">
        <v>6</v>
      </c>
      <c r="J217" s="127" t="n">
        <v>1</v>
      </c>
      <c r="K217" s="127">
        <f>PRODUCT(H217,J217)</f>
        <v/>
      </c>
    </row>
    <row r="218" hidden="1" s="201">
      <c r="A218" s="192" t="inlineStr">
        <is>
          <t>Mantra</t>
        </is>
      </c>
      <c r="B218" s="32" t="inlineStr">
        <is>
          <t>Croissant Adept: Cherry, Raspberry &amp; Peanut Butter</t>
        </is>
      </c>
      <c r="C218" s="75" t="inlineStr">
        <is>
          <t>Sour Ale</t>
        </is>
      </c>
      <c r="D218" s="75" t="inlineStr">
        <is>
          <t>6,5 / - / -</t>
        </is>
      </c>
      <c r="E218" s="98" t="inlineStr">
        <is>
          <t>Саур эль с вишней, малиной и арахисовой пастой.</t>
        </is>
      </c>
      <c r="F218" s="86" t="inlineStr">
        <is>
          <t>ж/б 0.45 / 20</t>
        </is>
      </c>
      <c r="G218" s="116" t="inlineStr">
        <is>
          <t>12 мес.</t>
        </is>
      </c>
      <c r="H218" s="57" t="n">
        <v>299</v>
      </c>
      <c r="I218" s="92" t="inlineStr">
        <is>
          <t>много</t>
        </is>
      </c>
      <c r="J218" s="127" t="n">
        <v>1</v>
      </c>
      <c r="K218" s="127">
        <f>PRODUCT(H218,J218)</f>
        <v/>
      </c>
    </row>
    <row r="219" hidden="1" s="201">
      <c r="A219" s="192" t="inlineStr">
        <is>
          <t>Mantra</t>
        </is>
      </c>
      <c r="B219" s="96" t="inlineStr">
        <is>
          <t>Dessert Messiah: Cherry, Macaroon &amp; Almond Syrup</t>
        </is>
      </c>
      <c r="C219" s="68" t="inlineStr">
        <is>
          <t>Double Pastry Stout</t>
        </is>
      </c>
      <c r="D219" s="75" t="inlineStr">
        <is>
          <t>13 / 30 / 20</t>
        </is>
      </c>
      <c r="E219" s="98" t="inlineStr">
        <is>
          <t>Двойной пастри стаут c вишней, макарунами, миндальным сиропом, выдержанный на дубовой щепе.</t>
        </is>
      </c>
      <c r="F219" s="86" t="inlineStr">
        <is>
          <t>ж/б 0.33 / 20</t>
        </is>
      </c>
      <c r="G219" s="116" t="inlineStr">
        <is>
          <t>24 мес.</t>
        </is>
      </c>
      <c r="H219" s="57" t="n">
        <v>335</v>
      </c>
      <c r="I219" s="127" t="inlineStr">
        <is>
          <t>новинка</t>
        </is>
      </c>
      <c r="J219" s="127" t="n">
        <v>1</v>
      </c>
      <c r="K219" s="127">
        <f>PRODUCT(H219,J219)</f>
        <v/>
      </c>
    </row>
    <row r="220" hidden="1" s="201">
      <c r="A220" s="192" t="inlineStr">
        <is>
          <t>Mantra</t>
        </is>
      </c>
      <c r="B220" s="32" t="inlineStr">
        <is>
          <t>Fracture: Apple &amp; Pomegranate</t>
        </is>
      </c>
      <c r="C220" s="75" t="inlineStr">
        <is>
          <t>Gose</t>
        </is>
      </c>
      <c r="D220" s="97" t="n"/>
      <c r="E220" s="98" t="inlineStr">
        <is>
          <t>Гозе с яблоком и гранатом. Освежающий и кислый дроп.</t>
        </is>
      </c>
      <c r="F220" s="86" t="inlineStr">
        <is>
          <t>ж/б 0.45 / 20</t>
        </is>
      </c>
      <c r="G220" s="116" t="inlineStr">
        <is>
          <t>12 мес.</t>
        </is>
      </c>
      <c r="H220" s="57" t="n">
        <v>249</v>
      </c>
      <c r="I220" s="92" t="inlineStr">
        <is>
          <t>много</t>
        </is>
      </c>
      <c r="J220" s="127" t="n">
        <v>1</v>
      </c>
      <c r="K220" s="127">
        <f>PRODUCT(H220,J220)</f>
        <v/>
      </c>
    </row>
    <row r="221" hidden="1" s="201">
      <c r="A221" s="192" t="inlineStr">
        <is>
          <t>Mantra</t>
        </is>
      </c>
      <c r="B221" s="32" t="inlineStr">
        <is>
          <t>Fracture: Lingonberry &amp; Jalapeno</t>
        </is>
      </c>
      <c r="C221" s="75" t="inlineStr">
        <is>
          <t>Tomato Gose</t>
        </is>
      </c>
      <c r="D221" s="75" t="inlineStr">
        <is>
          <t>6,5 / - / -</t>
        </is>
      </c>
      <c r="E221" s="98" t="inlineStr">
        <is>
          <t>Гозе с томатами, брусникой, морской солью, маринованными халапеньо.</t>
        </is>
      </c>
      <c r="F221" s="86" t="inlineStr">
        <is>
          <t>ж/б 0.45 / 20</t>
        </is>
      </c>
      <c r="G221" s="116" t="inlineStr">
        <is>
          <t>12 мес.</t>
        </is>
      </c>
      <c r="H221" s="57" t="n">
        <v>249</v>
      </c>
      <c r="I221" s="92" t="inlineStr">
        <is>
          <t>много</t>
        </is>
      </c>
      <c r="J221" s="127" t="n">
        <v>1</v>
      </c>
      <c r="K221" s="127">
        <f>PRODUCT(H221,J221)</f>
        <v/>
      </c>
    </row>
    <row r="222" hidden="1" s="201">
      <c r="A222" s="192" t="inlineStr">
        <is>
          <t>Mantra</t>
        </is>
      </c>
      <c r="B222" s="32" t="inlineStr">
        <is>
          <t>Galaxy Edge: Blue Milk</t>
        </is>
      </c>
      <c r="C222" s="75" t="inlineStr">
        <is>
          <t>Sour Ale</t>
        </is>
      </c>
      <c r="D222" s="75" t="inlineStr">
        <is>
          <t>6,5 / - / -</t>
        </is>
      </c>
      <c r="E222" s="98" t="inlineStr">
        <is>
          <t>Голубой космический саур эль с бананом, ананасом, кокосом, голубой матчей и ванилью.</t>
        </is>
      </c>
      <c r="F222" s="86" t="inlineStr">
        <is>
          <t>ж/б 0.45 / 20</t>
        </is>
      </c>
      <c r="G222" s="116" t="inlineStr">
        <is>
          <t>12 мес.</t>
        </is>
      </c>
      <c r="H222" s="57" t="n">
        <v>299</v>
      </c>
      <c r="I222" s="92" t="inlineStr">
        <is>
          <t>много</t>
        </is>
      </c>
      <c r="J222" s="127" t="n">
        <v>1</v>
      </c>
      <c r="K222" s="127">
        <f>PRODUCT(H222,J222)</f>
        <v/>
      </c>
    </row>
    <row r="223" hidden="1" s="201">
      <c r="A223" s="192" t="inlineStr">
        <is>
          <t>Mantra</t>
        </is>
      </c>
      <c r="B223" s="32" t="inlineStr">
        <is>
          <t>Hellbringer</t>
        </is>
      </c>
      <c r="C223" s="75" t="inlineStr">
        <is>
          <t>RIS</t>
        </is>
      </c>
      <c r="D223" s="75" t="inlineStr">
        <is>
          <t>15 / 32 / 20</t>
        </is>
      </c>
      <c r="E223" s="98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3" s="86" t="inlineStr">
        <is>
          <t>ж/б 0.33 / 20</t>
        </is>
      </c>
      <c r="G223" s="116" t="inlineStr">
        <is>
          <t>24 мес.</t>
        </is>
      </c>
      <c r="H223" s="57" t="n">
        <v>349</v>
      </c>
      <c r="I223" s="127" t="inlineStr">
        <is>
          <t>новинка</t>
        </is>
      </c>
      <c r="J223" s="127" t="n">
        <v>1</v>
      </c>
      <c r="K223" s="127">
        <f>PRODUCT(H223,J223)</f>
        <v/>
      </c>
    </row>
    <row r="224" hidden="1" s="201">
      <c r="A224" s="192" t="inlineStr">
        <is>
          <t>Mantra</t>
        </is>
      </c>
      <c r="B224" s="26" t="inlineStr">
        <is>
          <t>Lemonade: Cherry</t>
        </is>
      </c>
      <c r="C224" s="75" t="inlineStr">
        <is>
          <t>Berliner Weisse</t>
        </is>
      </c>
      <c r="D224" s="75" t="inlineStr">
        <is>
          <t>5 / - / -</t>
        </is>
      </c>
      <c r="E224" s="98" t="inlineStr">
        <is>
          <t>Освежающий и кислый берлинер вайссе с вишней и кока-колой.</t>
        </is>
      </c>
      <c r="F224" s="86" t="inlineStr">
        <is>
          <t>ж/б 0.45 / 20</t>
        </is>
      </c>
      <c r="G224" s="116" t="inlineStr">
        <is>
          <t>12 мес.</t>
        </is>
      </c>
      <c r="H224" s="57" t="n">
        <v>249</v>
      </c>
      <c r="I224" s="76" t="n">
        <v>9</v>
      </c>
      <c r="J224" s="127" t="n">
        <v>1</v>
      </c>
      <c r="K224" s="127">
        <f>PRODUCT(H224,J224)</f>
        <v/>
      </c>
    </row>
    <row r="225" hidden="1" s="201">
      <c r="A225" s="192" t="inlineStr">
        <is>
          <t>Mantra</t>
        </is>
      </c>
      <c r="B225" s="32" t="inlineStr">
        <is>
          <t>Lemonade: Grape</t>
        </is>
      </c>
      <c r="C225" s="75" t="inlineStr">
        <is>
          <t>Berliner Weisse</t>
        </is>
      </c>
      <c r="D225" s="75" t="inlineStr">
        <is>
          <t>5 / - / -</t>
        </is>
      </c>
      <c r="E225" s="98" t="inlineStr">
        <is>
          <t>Виноградный берлинер вайссе c виноградом изабелла и лимоном.</t>
        </is>
      </c>
      <c r="F225" s="86" t="inlineStr">
        <is>
          <t>ж/б 0.45 / 20</t>
        </is>
      </c>
      <c r="G225" s="116" t="inlineStr">
        <is>
          <t>12 мес.</t>
        </is>
      </c>
      <c r="H225" s="57" t="n">
        <v>249</v>
      </c>
      <c r="I225" s="92" t="inlineStr">
        <is>
          <t>много</t>
        </is>
      </c>
      <c r="J225" s="127" t="n">
        <v>1</v>
      </c>
      <c r="K225" s="127">
        <f>PRODUCT(H225,J225)</f>
        <v/>
      </c>
    </row>
    <row r="226" hidden="1" s="201">
      <c r="A226" s="192" t="inlineStr">
        <is>
          <t>Mantra</t>
        </is>
      </c>
      <c r="B226" s="32" t="inlineStr">
        <is>
          <t>Shake Bus: Banana, Passion Fruit &amp; Calamansi</t>
        </is>
      </c>
      <c r="C226" s="75" t="inlineStr">
        <is>
          <t>Sour Ale</t>
        </is>
      </c>
      <c r="D226" s="75" t="inlineStr">
        <is>
          <t>6,5 / - / -</t>
        </is>
      </c>
      <c r="E226" s="98" t="inlineStr">
        <is>
          <t>Экстра-фруктовый саур эль с бананом, маракуйей и каламанси.</t>
        </is>
      </c>
      <c r="F226" s="86" t="inlineStr">
        <is>
          <t>ж/б 0.45 / 20</t>
        </is>
      </c>
      <c r="G226" s="116" t="inlineStr">
        <is>
          <t>12 мес.</t>
        </is>
      </c>
      <c r="H226" s="57" t="n">
        <v>299</v>
      </c>
      <c r="I226" s="92" t="inlineStr">
        <is>
          <t>много</t>
        </is>
      </c>
      <c r="J226" s="127" t="n">
        <v>1</v>
      </c>
      <c r="K226" s="127">
        <f>PRODUCT(H226,J226)</f>
        <v/>
      </c>
    </row>
    <row r="227" hidden="1" s="201">
      <c r="A227" s="192" t="inlineStr">
        <is>
          <t>Mantra</t>
        </is>
      </c>
      <c r="B227" s="96" t="inlineStr">
        <is>
          <t>Waffle Shuffle: Banana, Strawberry &amp; Chocolate Syrup</t>
        </is>
      </c>
      <c r="C227" s="75" t="inlineStr">
        <is>
          <t>Sour Ale</t>
        </is>
      </c>
      <c r="D227" s="75" t="inlineStr">
        <is>
          <t>6,5 / - / -</t>
        </is>
      </c>
      <c r="E227" s="98" t="inlineStr">
        <is>
          <t>Гонконгские вафли с клубникой, бананом, ванильными сливками и шоколадным сиропом.</t>
        </is>
      </c>
      <c r="F227" s="86" t="inlineStr">
        <is>
          <t>ж/б 0.45 / 20</t>
        </is>
      </c>
      <c r="G227" s="116" t="inlineStr">
        <is>
          <t>12 мес.</t>
        </is>
      </c>
      <c r="H227" s="57" t="n">
        <v>299</v>
      </c>
      <c r="I227" s="92" t="inlineStr">
        <is>
          <t>много</t>
        </is>
      </c>
      <c r="J227" s="127" t="n">
        <v>1</v>
      </c>
      <c r="K227" s="127">
        <f>PRODUCT(H227,J227)</f>
        <v/>
      </c>
    </row>
    <row r="228" hidden="1" s="201">
      <c r="A228" s="192" t="inlineStr">
        <is>
          <t>Mantra</t>
        </is>
      </c>
      <c r="B228" s="32" t="inlineStr">
        <is>
          <t>Waffle Shuffle: Mango, Grape &amp; Toffee</t>
        </is>
      </c>
      <c r="C228" s="75" t="inlineStr">
        <is>
          <t>Sour Ale</t>
        </is>
      </c>
      <c r="D228" s="75" t="inlineStr">
        <is>
          <t>6,5 / - / -</t>
        </is>
      </c>
      <c r="E228" s="98" t="inlineStr">
        <is>
          <t>Гонконгские вафли с манго, зеленым виноградом, ванильными сливками, тоффи и корицей.</t>
        </is>
      </c>
      <c r="F228" s="86" t="inlineStr">
        <is>
          <t>ж/б 0.45 / 20</t>
        </is>
      </c>
      <c r="G228" s="116" t="inlineStr">
        <is>
          <t>12 мес.</t>
        </is>
      </c>
      <c r="H228" s="57" t="n">
        <v>299</v>
      </c>
      <c r="I228" s="92" t="inlineStr">
        <is>
          <t>много</t>
        </is>
      </c>
      <c r="J228" s="127" t="n">
        <v>1</v>
      </c>
      <c r="K228" s="127">
        <f>PRODUCT(H228,J228)</f>
        <v/>
      </c>
    </row>
    <row r="229" hidden="1" s="201">
      <c r="A229" s="192" t="inlineStr">
        <is>
          <t>Mantra</t>
        </is>
      </c>
      <c r="B229" s="32" t="inlineStr">
        <is>
          <t>Yogurt: Apricot</t>
        </is>
      </c>
      <c r="C229" s="75" t="inlineStr">
        <is>
          <t>Sour Ale</t>
        </is>
      </c>
      <c r="D229" s="75" t="inlineStr">
        <is>
          <t>7 / - / -</t>
        </is>
      </c>
      <c r="E229" s="98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29" s="86" t="inlineStr">
        <is>
          <t>ж/б 0.45 / 20</t>
        </is>
      </c>
      <c r="G229" s="116" t="inlineStr">
        <is>
          <t>12 мес.</t>
        </is>
      </c>
      <c r="H229" s="57" t="n">
        <v>299</v>
      </c>
      <c r="I229" s="92" t="inlineStr">
        <is>
          <t>много</t>
        </is>
      </c>
      <c r="J229" s="127" t="n">
        <v>0</v>
      </c>
      <c r="K229" s="127">
        <f>PRODUCT(H229,J229)</f>
        <v/>
      </c>
    </row>
    <row r="230" hidden="1" s="201">
      <c r="A230" s="95" t="inlineStr">
        <is>
          <t>Magic Mess г. Санкт-Петербург</t>
        </is>
      </c>
      <c r="B230" s="202" t="n"/>
      <c r="C230" s="202" t="n"/>
      <c r="D230" s="202" t="n"/>
      <c r="E230" s="202" t="n"/>
      <c r="F230" s="202" t="n"/>
      <c r="G230" s="202" t="n"/>
      <c r="H230" s="202" t="n"/>
      <c r="I230" s="203" t="n"/>
      <c r="J230" s="95" t="n">
        <v>1</v>
      </c>
      <c r="K230" s="95" t="n"/>
    </row>
    <row r="231" hidden="1" s="201">
      <c r="A231" s="192" t="inlineStr">
        <is>
          <t>Magic Mess</t>
        </is>
      </c>
      <c r="B231" s="32" t="inlineStr">
        <is>
          <t>Птичий короб</t>
        </is>
      </c>
      <c r="C231" s="75" t="inlineStr">
        <is>
          <t>Berliner Weisse</t>
        </is>
      </c>
      <c r="D231" s="75" t="inlineStr">
        <is>
          <t>4 / - / -</t>
        </is>
      </c>
      <c r="E231" s="98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1" s="86" t="inlineStr">
        <is>
          <t>ж/б 0.45 / 12</t>
        </is>
      </c>
      <c r="G231" s="116" t="inlineStr">
        <is>
          <t>12 мес.</t>
        </is>
      </c>
      <c r="H231" s="57" t="n">
        <v>231</v>
      </c>
      <c r="I231" s="92" t="inlineStr">
        <is>
          <t>много</t>
        </is>
      </c>
      <c r="J231" s="127" t="n">
        <v>0</v>
      </c>
      <c r="K231" s="127">
        <f>PRODUCT(H231,J231)</f>
        <v/>
      </c>
    </row>
    <row r="232" hidden="1" s="201">
      <c r="A232" s="100" t="inlineStr">
        <is>
          <t>On The Bones Brewery г. Санкт-Петербург</t>
        </is>
      </c>
      <c r="B232" s="202" t="n"/>
      <c r="C232" s="202" t="n"/>
      <c r="D232" s="202" t="n"/>
      <c r="E232" s="202" t="n"/>
      <c r="F232" s="202" t="n"/>
      <c r="G232" s="202" t="n"/>
      <c r="H232" s="202" t="n"/>
      <c r="I232" s="203" t="n"/>
      <c r="J232" s="100" t="n">
        <v>1</v>
      </c>
      <c r="K232" s="100" t="n"/>
    </row>
    <row r="233" hidden="1" s="201">
      <c r="A233" s="192" t="inlineStr">
        <is>
          <t>On The Bones</t>
        </is>
      </c>
      <c r="B233" s="32" t="inlineStr">
        <is>
          <t>Главное — участие</t>
        </is>
      </c>
      <c r="C233" s="75" t="inlineStr">
        <is>
          <t>Festbier</t>
        </is>
      </c>
      <c r="D233" s="75" t="inlineStr">
        <is>
          <t>5,6 / 14 / 15</t>
        </is>
      </c>
      <c r="E233" s="98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3" s="86" t="inlineStr">
        <is>
          <t>ж/б 0.45 / 12</t>
        </is>
      </c>
      <c r="G233" s="116" t="inlineStr">
        <is>
          <t>12 мес.</t>
        </is>
      </c>
      <c r="H233" s="57" t="n">
        <v>189</v>
      </c>
      <c r="I233" s="92" t="inlineStr">
        <is>
          <t>много</t>
        </is>
      </c>
      <c r="J233" s="127" t="n">
        <v>1</v>
      </c>
      <c r="K233" s="127">
        <f>PRODUCT(H233,J233)</f>
        <v/>
      </c>
    </row>
    <row r="234" hidden="1" s="201">
      <c r="A234" s="192" t="inlineStr">
        <is>
          <t>On The Bones</t>
        </is>
      </c>
      <c r="B234" s="32" t="inlineStr">
        <is>
          <t>Ласка нерпы</t>
        </is>
      </c>
      <c r="C234" s="75" t="inlineStr">
        <is>
          <t>Stout</t>
        </is>
      </c>
      <c r="D234" s="75" t="inlineStr">
        <is>
          <t>5,5 / 14 / 23</t>
        </is>
      </c>
      <c r="E234" s="98" t="inlineStr">
        <is>
          <t>Шоколадный солод, низкая горечь и небольшая крепость, мягкость и карамельная сладость в завершении.</t>
        </is>
      </c>
      <c r="F234" s="86" t="inlineStr">
        <is>
          <t>ж/б 0.45 / 12</t>
        </is>
      </c>
      <c r="G234" s="116" t="inlineStr">
        <is>
          <t>12 мес.</t>
        </is>
      </c>
      <c r="H234" s="57" t="n">
        <v>179</v>
      </c>
      <c r="I234" s="92" t="inlineStr">
        <is>
          <t>много</t>
        </is>
      </c>
      <c r="J234" s="127" t="n">
        <v>1</v>
      </c>
      <c r="K234" s="127">
        <f>PRODUCT(H234,J234)</f>
        <v/>
      </c>
    </row>
    <row r="235" hidden="1" s="201">
      <c r="A235" s="192" t="inlineStr">
        <is>
          <t>On The Bones</t>
        </is>
      </c>
      <c r="B235" s="32" t="inlineStr">
        <is>
          <t>Санный Спорт</t>
        </is>
      </c>
      <c r="C235" s="75" t="inlineStr">
        <is>
          <t>Lager</t>
        </is>
      </c>
      <c r="D235" s="75" t="inlineStr">
        <is>
          <t>4,8 / 12 / 25</t>
        </is>
      </c>
      <c r="E235" s="98" t="inlineStr">
        <is>
          <t>Лагер, простой и понятный, как санная трасса.</t>
        </is>
      </c>
      <c r="F235" s="86" t="inlineStr">
        <is>
          <t>ж/б 0.45 / 12</t>
        </is>
      </c>
      <c r="G235" s="116" t="inlineStr">
        <is>
          <t>12 мес.</t>
        </is>
      </c>
      <c r="H235" s="57" t="n">
        <v>179</v>
      </c>
      <c r="I235" s="92" t="inlineStr">
        <is>
          <t>много</t>
        </is>
      </c>
      <c r="J235" s="127" t="n">
        <v>1</v>
      </c>
      <c r="K235" s="127">
        <f>PRODUCT(H235,J235)</f>
        <v/>
      </c>
    </row>
    <row r="236" hidden="1" s="201">
      <c r="A236" s="192" t="inlineStr">
        <is>
          <t>On The Bones</t>
        </is>
      </c>
      <c r="B236" s="32" t="inlineStr">
        <is>
          <t>Токсовский Трамплин</t>
        </is>
      </c>
      <c r="C236" s="75" t="inlineStr">
        <is>
          <t>IPA</t>
        </is>
      </c>
      <c r="D236" s="75" t="inlineStr">
        <is>
          <t>7 / 17 / 105</t>
        </is>
      </c>
      <c r="E236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36" s="86" t="inlineStr">
        <is>
          <t>ж/б 0.45 / 12</t>
        </is>
      </c>
      <c r="G236" s="116" t="inlineStr">
        <is>
          <t>12 мес.</t>
        </is>
      </c>
      <c r="H236" s="57" t="n">
        <v>219</v>
      </c>
      <c r="I236" s="92" t="inlineStr">
        <is>
          <t>много</t>
        </is>
      </c>
      <c r="J236" s="127" t="n">
        <v>1</v>
      </c>
      <c r="K236" s="127">
        <f>PRODUCT(H236,J236)</f>
        <v/>
      </c>
    </row>
    <row r="237" hidden="1" s="201">
      <c r="A237" s="192" t="inlineStr">
        <is>
          <t>On The Bones</t>
        </is>
      </c>
      <c r="B237" s="32" t="inlineStr">
        <is>
          <t>Юнга (Rum Edition)</t>
        </is>
      </c>
      <c r="C237" s="75" t="inlineStr">
        <is>
          <t>RIS</t>
        </is>
      </c>
      <c r="D237" s="75" t="inlineStr">
        <is>
          <t>10 / 25 / 16</t>
        </is>
      </c>
      <c r="E237" s="98" t="inlineStr">
        <is>
          <t xml:space="preserve">Обволакивающий, плотный, чуть жжёный вкус, в крепком и согревающем имперском стауте. </t>
        </is>
      </c>
      <c r="F237" s="112" t="inlineStr">
        <is>
          <t>бут 0.33 / 12</t>
        </is>
      </c>
      <c r="G237" s="116" t="inlineStr">
        <is>
          <t>12 мес.</t>
        </is>
      </c>
      <c r="H237" s="57" t="n">
        <v>195</v>
      </c>
      <c r="I237" s="92" t="inlineStr">
        <is>
          <t>много</t>
        </is>
      </c>
      <c r="J237" s="127" t="n">
        <v>1</v>
      </c>
      <c r="K237" s="127">
        <f>PRODUCT(H237,J237)</f>
        <v/>
      </c>
    </row>
    <row r="238" hidden="1" s="201">
      <c r="A238" s="192" t="inlineStr">
        <is>
          <t>On The Bones</t>
        </is>
      </c>
      <c r="B238" s="32" t="inlineStr">
        <is>
          <t>Cheri Cheri Lady</t>
        </is>
      </c>
      <c r="C238" s="75" t="inlineStr">
        <is>
          <t>Strong Fruit Beer</t>
        </is>
      </c>
      <c r="D238" s="75" t="inlineStr">
        <is>
          <t>8,5 / 21 / 10</t>
        </is>
      </c>
      <c r="E238" s="98" t="inlineStr">
        <is>
          <t>Крепкий эль с соком вишни и ванилью. Коллаборация с AF Brew. Премьера Lobo Day 2025.</t>
        </is>
      </c>
      <c r="F238" s="86" t="inlineStr">
        <is>
          <t>ж/б 0.45 / 12</t>
        </is>
      </c>
      <c r="G238" s="116" t="inlineStr">
        <is>
          <t>12 мес.</t>
        </is>
      </c>
      <c r="H238" s="57" t="n">
        <v>249</v>
      </c>
      <c r="I238" s="93" t="inlineStr">
        <is>
          <t>много</t>
        </is>
      </c>
      <c r="J238" s="127" t="n">
        <v>1</v>
      </c>
      <c r="K238" s="127">
        <f>PRODUCT(H238,J238)</f>
        <v/>
      </c>
    </row>
    <row r="239" hidden="1" s="201">
      <c r="A239" s="192" t="inlineStr">
        <is>
          <t>On The Bones</t>
        </is>
      </c>
      <c r="B239" s="26" t="inlineStr">
        <is>
          <t>Salt Mate</t>
        </is>
      </c>
      <c r="C239" s="101" t="inlineStr">
        <is>
          <t>Gose</t>
        </is>
      </c>
      <c r="D239" s="101" t="inlineStr">
        <is>
          <t>4,5 / 12,3 / 7</t>
        </is>
      </c>
      <c r="E239" s="102" t="inlineStr">
        <is>
          <t>Базовый гозе с кориандром и цедрой апельсина.</t>
        </is>
      </c>
      <c r="F239" s="62" t="inlineStr">
        <is>
          <t>ж/б 0.45 / 12</t>
        </is>
      </c>
      <c r="G239" s="79" t="inlineStr">
        <is>
          <t>12 мес.</t>
        </is>
      </c>
      <c r="H239" s="103" t="n">
        <v>185</v>
      </c>
      <c r="I239" s="93" t="inlineStr">
        <is>
          <t>много</t>
        </is>
      </c>
      <c r="J239" s="127" t="n">
        <v>1</v>
      </c>
      <c r="K239" s="127">
        <f>PRODUCT(H239,J239)</f>
        <v/>
      </c>
    </row>
    <row r="240" hidden="1" s="201">
      <c r="A240" s="192" t="inlineStr">
        <is>
          <t>On The Bones</t>
        </is>
      </c>
      <c r="B240" s="26" t="inlineStr">
        <is>
          <t>Strawberry'lips</t>
        </is>
      </c>
      <c r="C240" s="101" t="inlineStr">
        <is>
          <t>Gose</t>
        </is>
      </c>
      <c r="D240" s="101" t="inlineStr">
        <is>
          <t>4,5 / 12,5 / 7</t>
        </is>
      </c>
      <c r="E240" s="102" t="inlineStr">
        <is>
          <t>Гозе с клубникой, базиликом и лемонграссом.</t>
        </is>
      </c>
      <c r="F240" s="62" t="inlineStr">
        <is>
          <t>ж/б 0.45 / 12</t>
        </is>
      </c>
      <c r="G240" s="79" t="inlineStr">
        <is>
          <t>12 мес.</t>
        </is>
      </c>
      <c r="H240" s="103" t="n">
        <v>215</v>
      </c>
      <c r="I240" s="93" t="inlineStr">
        <is>
          <t>много</t>
        </is>
      </c>
      <c r="J240" s="127" t="n">
        <v>0</v>
      </c>
      <c r="K240" s="127">
        <f>PRODUCT(H240,J240)</f>
        <v/>
      </c>
    </row>
    <row r="241" hidden="1" s="201">
      <c r="A241" s="144" t="inlineStr">
        <is>
          <t>Ostrovica г. Аша</t>
        </is>
      </c>
      <c r="B241" s="202" t="n"/>
      <c r="C241" s="202" t="n"/>
      <c r="D241" s="202" t="n"/>
      <c r="E241" s="202" t="n"/>
      <c r="F241" s="202" t="n"/>
      <c r="G241" s="202" t="n"/>
      <c r="H241" s="202" t="n"/>
      <c r="I241" s="203" t="n"/>
      <c r="J241" s="144" t="n">
        <v>1</v>
      </c>
      <c r="K241" s="144" t="n"/>
    </row>
    <row r="242" hidden="1" s="201">
      <c r="A242" s="196" t="inlineStr">
        <is>
          <t>Ostrovica</t>
        </is>
      </c>
      <c r="B242" s="17" t="inlineStr">
        <is>
          <t>B-DAY Lager</t>
        </is>
      </c>
      <c r="C242" s="116" t="inlineStr">
        <is>
          <t>Lager</t>
        </is>
      </c>
      <c r="D242" s="116" t="inlineStr">
        <is>
          <t>4,9 / 12,5 / 25</t>
        </is>
      </c>
      <c r="E242" s="42" t="inlineStr">
        <is>
          <t>Лагер, охмелённый SAAZ, Motueka и Centennial.</t>
        </is>
      </c>
      <c r="F242" s="86" t="inlineStr">
        <is>
          <t>ж/б 0.45 / 20</t>
        </is>
      </c>
      <c r="G242" s="116" t="inlineStr">
        <is>
          <t>12 мес.</t>
        </is>
      </c>
      <c r="H242" s="49" t="n">
        <v>175</v>
      </c>
      <c r="I242" s="92" t="inlineStr">
        <is>
          <t>много</t>
        </is>
      </c>
      <c r="J242" s="127" t="n">
        <v>1</v>
      </c>
      <c r="K242" s="127">
        <f>PRODUCT(H242,J242)</f>
        <v/>
      </c>
    </row>
    <row r="243" hidden="1" s="201">
      <c r="A243" s="196" t="inlineStr">
        <is>
          <t>Ostrovica</t>
        </is>
      </c>
      <c r="B243" s="31" t="inlineStr">
        <is>
          <t>Birthday Boy</t>
        </is>
      </c>
      <c r="C243" s="116" t="inlineStr">
        <is>
          <t>Sour Ale</t>
        </is>
      </c>
      <c r="D243" s="116" t="inlineStr">
        <is>
          <t>5,5 / 12 / -</t>
        </is>
      </c>
      <c r="E243" s="42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3" s="86" t="inlineStr">
        <is>
          <t>ж/б 0.45 / 20</t>
        </is>
      </c>
      <c r="G243" s="116" t="inlineStr">
        <is>
          <t>12 мес.</t>
        </is>
      </c>
      <c r="H243" s="49" t="n">
        <v>279</v>
      </c>
      <c r="I243" s="92" t="inlineStr">
        <is>
          <t>много</t>
        </is>
      </c>
      <c r="J243" s="127" t="n">
        <v>1</v>
      </c>
      <c r="K243" s="127">
        <f>PRODUCT(H243,J243)</f>
        <v/>
      </c>
    </row>
    <row r="244" hidden="1" s="201">
      <c r="A244" s="196" t="inlineStr">
        <is>
          <t>Ostrovica</t>
        </is>
      </c>
      <c r="B244" s="31" t="inlineStr">
        <is>
          <t>Everyday Clown</t>
        </is>
      </c>
      <c r="C244" s="116" t="inlineStr">
        <is>
          <t>Imperial Gose</t>
        </is>
      </c>
      <c r="D244" s="116" t="inlineStr">
        <is>
          <t>6,9 / 17 / -</t>
        </is>
      </c>
      <c r="E244" s="42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44" s="86" t="inlineStr">
        <is>
          <t>ж/б 0.45 / 20</t>
        </is>
      </c>
      <c r="G244" s="116" t="inlineStr">
        <is>
          <t>12 мес.</t>
        </is>
      </c>
      <c r="H244" s="49" t="n">
        <v>289</v>
      </c>
      <c r="I244" s="92" t="inlineStr">
        <is>
          <t>много</t>
        </is>
      </c>
      <c r="J244" s="127" t="n">
        <v>1</v>
      </c>
      <c r="K244" s="127">
        <f>PRODUCT(H244,J244)</f>
        <v/>
      </c>
    </row>
    <row r="245" hidden="1" s="201">
      <c r="A245" s="196" t="inlineStr">
        <is>
          <t>Ostrovica</t>
        </is>
      </c>
      <c r="B245" s="31" t="inlineStr">
        <is>
          <t>Dry Stout</t>
        </is>
      </c>
      <c r="C245" s="116" t="inlineStr">
        <is>
          <t>Stout</t>
        </is>
      </c>
      <c r="D245" s="116" t="inlineStr">
        <is>
          <t>5,5 / 14 / -</t>
        </is>
      </c>
      <c r="E245" s="42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45" s="86" t="inlineStr">
        <is>
          <t>ж/б 0.45 / 20</t>
        </is>
      </c>
      <c r="G245" s="116" t="inlineStr">
        <is>
          <t>12 мес.</t>
        </is>
      </c>
      <c r="H245" s="49" t="n">
        <v>199</v>
      </c>
      <c r="I245" s="92" t="inlineStr">
        <is>
          <t>много</t>
        </is>
      </c>
      <c r="J245" s="127" t="n">
        <v>1</v>
      </c>
      <c r="K245" s="127">
        <f>PRODUCT(H245,J245)</f>
        <v/>
      </c>
    </row>
    <row r="246" hidden="1" s="201">
      <c r="A246" s="196" t="inlineStr">
        <is>
          <t>Ostrovica</t>
        </is>
      </c>
      <c r="B246" s="31" t="inlineStr">
        <is>
          <t>FAKE PLANTS Blueberry, Raspberry &amp; Bergamot</t>
        </is>
      </c>
      <c r="C246" s="116" t="inlineStr">
        <is>
          <t>Sour Ale</t>
        </is>
      </c>
      <c r="D246" s="116" t="inlineStr">
        <is>
          <t>5,5 / 15 / -</t>
        </is>
      </c>
      <c r="E246" s="42" t="inlineStr">
        <is>
          <t>Саур эль с черникой, малиной и бергамотом.</t>
        </is>
      </c>
      <c r="F246" s="86" t="inlineStr">
        <is>
          <t>ж/б 0.45 / 20</t>
        </is>
      </c>
      <c r="G246" s="116" t="inlineStr">
        <is>
          <t>12 мес.</t>
        </is>
      </c>
      <c r="H246" s="49" t="n">
        <v>289</v>
      </c>
      <c r="I246" s="76" t="n">
        <v>9</v>
      </c>
      <c r="J246" s="127" t="n">
        <v>1</v>
      </c>
      <c r="K246" s="127">
        <f>PRODUCT(H246,J246)</f>
        <v/>
      </c>
    </row>
    <row r="247" hidden="1" s="201">
      <c r="A247" s="196" t="inlineStr">
        <is>
          <t>Ostrovica</t>
        </is>
      </c>
      <c r="B247" s="31" t="inlineStr">
        <is>
          <t>FAKE PLANTS Guanabana x Strawberry</t>
        </is>
      </c>
      <c r="C247" s="116" t="inlineStr">
        <is>
          <t>Sour Ale</t>
        </is>
      </c>
      <c r="D247" s="116" t="inlineStr">
        <is>
          <t>5,5 / 12 / -</t>
        </is>
      </c>
      <c r="E247" s="42" t="inlineStr">
        <is>
          <t>Саур эль с гуанабаной и клубникой.</t>
        </is>
      </c>
      <c r="F247" s="86" t="inlineStr">
        <is>
          <t>ж/б 0.45 / 20</t>
        </is>
      </c>
      <c r="G247" s="116" t="inlineStr">
        <is>
          <t>12 мес.</t>
        </is>
      </c>
      <c r="H247" s="49" t="n">
        <v>279</v>
      </c>
      <c r="I247" s="76" t="n">
        <v>10</v>
      </c>
      <c r="J247" s="127" t="n">
        <v>1</v>
      </c>
      <c r="K247" s="127">
        <f>PRODUCT(H247,J247)</f>
        <v/>
      </c>
    </row>
    <row r="248" hidden="1" s="201">
      <c r="A248" s="196" t="inlineStr">
        <is>
          <t>Ostrovica</t>
        </is>
      </c>
      <c r="B248" s="31" t="inlineStr">
        <is>
          <t>Gose</t>
        </is>
      </c>
      <c r="C248" s="116" t="inlineStr">
        <is>
          <t>Gose</t>
        </is>
      </c>
      <c r="D248" s="116" t="inlineStr">
        <is>
          <t>5/ 12,5 / -</t>
        </is>
      </c>
      <c r="E248" s="42" t="inlineStr">
        <is>
          <t>Классический Гозе. Один из древнейших сортов пива с ярко выроженным кисло-соленым вкусом.</t>
        </is>
      </c>
      <c r="F248" s="86" t="inlineStr">
        <is>
          <t>ж/б 0.45 / 20</t>
        </is>
      </c>
      <c r="G248" s="116" t="inlineStr">
        <is>
          <t>12 мес.</t>
        </is>
      </c>
      <c r="H248" s="49" t="n">
        <v>189</v>
      </c>
      <c r="I248" s="92" t="inlineStr">
        <is>
          <t>много</t>
        </is>
      </c>
      <c r="J248" s="127" t="n">
        <v>1</v>
      </c>
      <c r="K248" s="127">
        <f>PRODUCT(H248,J248)</f>
        <v/>
      </c>
    </row>
    <row r="249" hidden="1" s="201">
      <c r="A249" s="196" t="inlineStr">
        <is>
          <t>Ostrovica</t>
        </is>
      </c>
      <c r="B249" s="104" t="inlineStr">
        <is>
          <t>Helles</t>
        </is>
      </c>
      <c r="C249" s="105" t="inlineStr">
        <is>
          <t>Helles</t>
        </is>
      </c>
      <c r="D249" s="105" t="inlineStr">
        <is>
          <t>4,5 / 12 / -</t>
        </is>
      </c>
      <c r="E249" s="106" t="inlineStr">
        <is>
          <t>Традиционный баварский светлый лагер с лёгкой хмелевой горечью.</t>
        </is>
      </c>
      <c r="F249" s="107" t="inlineStr">
        <is>
          <t>ж/б 0.45 / 20</t>
        </is>
      </c>
      <c r="G249" s="105" t="inlineStr">
        <is>
          <t>12 мес.</t>
        </is>
      </c>
      <c r="H249" s="108" t="n">
        <v>165</v>
      </c>
      <c r="I249" s="109" t="inlineStr">
        <is>
          <t>много</t>
        </is>
      </c>
      <c r="J249" s="127" t="n">
        <v>1</v>
      </c>
      <c r="K249" s="127">
        <f>PRODUCT(H249,J249)</f>
        <v/>
      </c>
    </row>
    <row r="250" hidden="1" s="201">
      <c r="A250" s="196" t="inlineStr">
        <is>
          <t>Ostrovica</t>
        </is>
      </c>
      <c r="B250" s="31" t="inlineStr">
        <is>
          <t>Holy DIPA</t>
        </is>
      </c>
      <c r="C250" s="116" t="inlineStr">
        <is>
          <t>DIPA</t>
        </is>
      </c>
      <c r="D250" s="116" t="inlineStr">
        <is>
          <t>8,2 / 19 / 100</t>
        </is>
      </c>
      <c r="E250" s="42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0" s="86" t="inlineStr">
        <is>
          <t>ж/б 0.45 / 20</t>
        </is>
      </c>
      <c r="G250" s="116" t="inlineStr">
        <is>
          <t>12 мес.</t>
        </is>
      </c>
      <c r="H250" s="49" t="n">
        <v>199</v>
      </c>
      <c r="I250" s="92" t="inlineStr">
        <is>
          <t>много</t>
        </is>
      </c>
      <c r="J250" s="127" t="n">
        <v>1</v>
      </c>
      <c r="K250" s="127">
        <f>PRODUCT(H250,J250)</f>
        <v/>
      </c>
    </row>
    <row r="251" hidden="1" s="201">
      <c r="A251" s="196" t="inlineStr">
        <is>
          <t>Ostrovica</t>
        </is>
      </c>
      <c r="B251" s="31" t="inlineStr">
        <is>
          <t>IPA</t>
        </is>
      </c>
      <c r="C251" s="116" t="inlineStr">
        <is>
          <t>IPA</t>
        </is>
      </c>
      <c r="D251" s="116" t="inlineStr">
        <is>
          <t>6,2 / 15 / 55</t>
        </is>
      </c>
      <c r="E251" s="42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1" s="86" t="inlineStr">
        <is>
          <t>ж/б 0.45 / 20</t>
        </is>
      </c>
      <c r="G251" s="116" t="inlineStr">
        <is>
          <t>12 мес.</t>
        </is>
      </c>
      <c r="H251" s="49" t="n">
        <v>189</v>
      </c>
      <c r="I251" s="92" t="inlineStr">
        <is>
          <t>много</t>
        </is>
      </c>
      <c r="J251" s="127" t="n">
        <v>1</v>
      </c>
      <c r="K251" s="127">
        <f>PRODUCT(H251,J251)</f>
        <v/>
      </c>
    </row>
    <row r="252" hidden="1" s="201">
      <c r="A252" s="196" t="inlineStr">
        <is>
          <t>Ostrovica</t>
        </is>
      </c>
      <c r="B252" s="31" t="inlineStr">
        <is>
          <t>Juicy IPA</t>
        </is>
      </c>
      <c r="C252" s="116" t="inlineStr">
        <is>
          <t>NE IPA</t>
        </is>
      </c>
      <c r="D252" s="116" t="inlineStr">
        <is>
          <t>6,2 / 15 / -</t>
        </is>
      </c>
      <c r="E252" s="42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2" s="86" t="inlineStr">
        <is>
          <t>ж/б 0.45 / 20</t>
        </is>
      </c>
      <c r="G252" s="116" t="inlineStr">
        <is>
          <t>12 мес.</t>
        </is>
      </c>
      <c r="H252" s="49" t="n">
        <v>209</v>
      </c>
      <c r="I252" s="92" t="inlineStr">
        <is>
          <t>много</t>
        </is>
      </c>
      <c r="J252" s="127" t="n">
        <v>1</v>
      </c>
      <c r="K252" s="127">
        <f>PRODUCT(H252,J252)</f>
        <v/>
      </c>
    </row>
    <row r="253" hidden="1" s="201">
      <c r="A253" s="196" t="inlineStr">
        <is>
          <t>Ostrovica</t>
        </is>
      </c>
      <c r="B253" s="31" t="inlineStr">
        <is>
          <t>Oatmeal Stout</t>
        </is>
      </c>
      <c r="C253" s="116" t="inlineStr">
        <is>
          <t>Oatmeal Stout</t>
        </is>
      </c>
      <c r="D253" s="116" t="inlineStr">
        <is>
          <t>5,5 / 13,5 / 30</t>
        </is>
      </c>
      <c r="E253" s="42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3" s="86" t="inlineStr">
        <is>
          <t>ж/б 0.45 / 20</t>
        </is>
      </c>
      <c r="G253" s="116" t="inlineStr">
        <is>
          <t>12 мес.</t>
        </is>
      </c>
      <c r="H253" s="49" t="n">
        <v>189</v>
      </c>
      <c r="I253" s="92" t="inlineStr">
        <is>
          <t>много</t>
        </is>
      </c>
      <c r="J253" s="127" t="n">
        <v>1</v>
      </c>
      <c r="K253" s="127">
        <f>PRODUCT(H253,J253)</f>
        <v/>
      </c>
    </row>
    <row r="254" hidden="1" s="201">
      <c r="A254" s="196" t="inlineStr">
        <is>
          <t>Ostrovica</t>
        </is>
      </c>
      <c r="B254" s="31" t="inlineStr">
        <is>
          <t>Pale Ale</t>
        </is>
      </c>
      <c r="C254" s="116" t="inlineStr">
        <is>
          <t>APA</t>
        </is>
      </c>
      <c r="D254" s="116" t="inlineStr">
        <is>
          <t>5,5 / 14 / -</t>
        </is>
      </c>
      <c r="E254" s="42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54" s="86" t="inlineStr">
        <is>
          <t>ж/б 0.45 / 20</t>
        </is>
      </c>
      <c r="G254" s="116" t="inlineStr">
        <is>
          <t>12 мес.</t>
        </is>
      </c>
      <c r="H254" s="49" t="n">
        <v>189</v>
      </c>
      <c r="I254" s="92" t="inlineStr">
        <is>
          <t>много</t>
        </is>
      </c>
      <c r="J254" s="127" t="n">
        <v>1</v>
      </c>
      <c r="K254" s="127">
        <f>PRODUCT(H254,J254)</f>
        <v/>
      </c>
    </row>
    <row r="255" hidden="1" s="201">
      <c r="A255" s="196" t="inlineStr">
        <is>
          <t>Ostrovica</t>
        </is>
      </c>
      <c r="B255" s="17" t="inlineStr">
        <is>
          <t>PILS 0.33</t>
        </is>
      </c>
      <c r="C255" s="116" t="inlineStr">
        <is>
          <t>Pilsner</t>
        </is>
      </c>
      <c r="D255" s="116" t="inlineStr">
        <is>
          <t>4,5 / 12 / 18</t>
        </is>
      </c>
      <c r="E255" s="42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5" s="86" t="inlineStr">
        <is>
          <t>бут 0.33 / 12</t>
        </is>
      </c>
      <c r="G255" s="116" t="inlineStr">
        <is>
          <t>12 мес.</t>
        </is>
      </c>
      <c r="H255" s="49" t="n">
        <v>165</v>
      </c>
      <c r="I255" s="93" t="inlineStr">
        <is>
          <t>много</t>
        </is>
      </c>
      <c r="J255" s="127" t="n">
        <v>1</v>
      </c>
      <c r="K255" s="127">
        <f>PRODUCT(H255,J255)</f>
        <v/>
      </c>
    </row>
    <row r="256" hidden="1" s="201">
      <c r="A256" s="196" t="inlineStr">
        <is>
          <t>Ostrovica</t>
        </is>
      </c>
      <c r="B256" s="31" t="inlineStr">
        <is>
          <t>PILS</t>
        </is>
      </c>
      <c r="C256" s="116" t="inlineStr">
        <is>
          <t>Pilsner</t>
        </is>
      </c>
      <c r="D256" s="116" t="inlineStr">
        <is>
          <t>4,5 / 12 / 18</t>
        </is>
      </c>
      <c r="E256" s="42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6" s="86" t="inlineStr">
        <is>
          <t>ж/б 0.45 / 20</t>
        </is>
      </c>
      <c r="G256" s="116" t="inlineStr">
        <is>
          <t>12 мес.</t>
        </is>
      </c>
      <c r="H256" s="49" t="n">
        <v>165</v>
      </c>
      <c r="I256" s="92" t="inlineStr">
        <is>
          <t>много</t>
        </is>
      </c>
      <c r="J256" s="127" t="n">
        <v>1</v>
      </c>
      <c r="K256" s="127">
        <f>PRODUCT(H256,J256)</f>
        <v/>
      </c>
    </row>
    <row r="257" hidden="1" s="201">
      <c r="A257" s="196" t="inlineStr">
        <is>
          <t>Ostrovica</t>
        </is>
      </c>
      <c r="B257" s="31" t="inlineStr">
        <is>
          <t>Seven Seconds</t>
        </is>
      </c>
      <c r="C257" s="116" t="inlineStr">
        <is>
          <t>Hazy Pale Ale</t>
        </is>
      </c>
      <c r="D257" s="116" t="inlineStr">
        <is>
          <t>5,5 / 14 / -</t>
        </is>
      </c>
      <c r="E257" s="42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57" s="86" t="inlineStr">
        <is>
          <t>ж/б 0.45 / 20</t>
        </is>
      </c>
      <c r="G257" s="116" t="inlineStr">
        <is>
          <t>12 мес.</t>
        </is>
      </c>
      <c r="H257" s="49" t="n">
        <v>259</v>
      </c>
      <c r="I257" s="92" t="inlineStr">
        <is>
          <t>много</t>
        </is>
      </c>
      <c r="J257" s="127" t="n">
        <v>1</v>
      </c>
      <c r="K257" s="127">
        <f>PRODUCT(H257,J257)</f>
        <v/>
      </c>
    </row>
    <row r="258" hidden="1" s="201">
      <c r="A258" s="196" t="inlineStr">
        <is>
          <t>Ostrovica</t>
        </is>
      </c>
      <c r="B258" s="17" t="inlineStr">
        <is>
          <t>Weizen 0.33</t>
        </is>
      </c>
      <c r="C258" s="116" t="inlineStr">
        <is>
          <t>Weizen</t>
        </is>
      </c>
      <c r="D258" s="116" t="inlineStr">
        <is>
          <t>4,5 / 12 / -</t>
        </is>
      </c>
      <c r="E258" s="42" t="inlineStr">
        <is>
          <t>Классический Weizen.</t>
        </is>
      </c>
      <c r="F258" s="86" t="inlineStr">
        <is>
          <t>бут 0.33 / 12</t>
        </is>
      </c>
      <c r="G258" s="116" t="inlineStr">
        <is>
          <t>12 мес.</t>
        </is>
      </c>
      <c r="H258" s="49" t="n">
        <v>175</v>
      </c>
      <c r="I258" s="93" t="inlineStr">
        <is>
          <t>много</t>
        </is>
      </c>
      <c r="J258" s="127" t="n">
        <v>1</v>
      </c>
      <c r="K258" s="127">
        <f>PRODUCT(H258,J258)</f>
        <v/>
      </c>
    </row>
    <row r="259" hidden="1" s="201">
      <c r="A259" s="196" t="inlineStr">
        <is>
          <t>Ostrovica</t>
        </is>
      </c>
      <c r="B259" s="17" t="inlineStr">
        <is>
          <t>Weizen</t>
        </is>
      </c>
      <c r="C259" s="116" t="inlineStr">
        <is>
          <t>Weizen</t>
        </is>
      </c>
      <c r="D259" s="116" t="inlineStr">
        <is>
          <t>4,5 / 12 / -</t>
        </is>
      </c>
      <c r="E259" s="42" t="inlineStr">
        <is>
          <t>Классический Weizen.</t>
        </is>
      </c>
      <c r="F259" s="86" t="inlineStr">
        <is>
          <t>ж/б 0.45 / 20</t>
        </is>
      </c>
      <c r="G259" s="116" t="inlineStr">
        <is>
          <t>12 мес.</t>
        </is>
      </c>
      <c r="H259" s="49" t="n">
        <v>175</v>
      </c>
      <c r="I259" s="92" t="inlineStr">
        <is>
          <t>много</t>
        </is>
      </c>
      <c r="J259" s="127" t="n">
        <v>1</v>
      </c>
      <c r="K259" s="127">
        <f>PRODUCT(H259,J259)</f>
        <v/>
      </c>
    </row>
    <row r="260" hidden="1" s="201">
      <c r="A260" s="196" t="inlineStr">
        <is>
          <t>Ostrovica</t>
        </is>
      </c>
      <c r="B260" s="31" t="inlineStr">
        <is>
          <t>Wish Wish</t>
        </is>
      </c>
      <c r="C260" s="116" t="inlineStr">
        <is>
          <t>Cherry Ale</t>
        </is>
      </c>
      <c r="D260" s="116" t="inlineStr">
        <is>
          <t>5,5 / 12 / 10</t>
        </is>
      </c>
      <c r="E260" s="42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0" s="86" t="inlineStr">
        <is>
          <t>ж/б 0.45 / 20</t>
        </is>
      </c>
      <c r="G260" s="116" t="inlineStr">
        <is>
          <t>12 мес.</t>
        </is>
      </c>
      <c r="H260" s="49" t="n">
        <v>249</v>
      </c>
      <c r="I260" s="92" t="inlineStr">
        <is>
          <t>много</t>
        </is>
      </c>
      <c r="J260" s="127" t="n">
        <v>0</v>
      </c>
      <c r="K260" s="127">
        <f>PRODUCT(H260,J260)</f>
        <v/>
      </c>
    </row>
    <row r="261" hidden="1" s="201">
      <c r="A261" s="100" t="inlineStr">
        <is>
          <t>Plague Brew г. Санкт-Петербург</t>
        </is>
      </c>
      <c r="B261" s="202" t="n"/>
      <c r="C261" s="202" t="n"/>
      <c r="D261" s="202" t="n"/>
      <c r="E261" s="202" t="n"/>
      <c r="F261" s="202" t="n"/>
      <c r="G261" s="202" t="n"/>
      <c r="H261" s="202" t="n"/>
      <c r="I261" s="203" t="n"/>
      <c r="J261" s="100" t="n">
        <v>1</v>
      </c>
      <c r="K261" s="100" t="n"/>
    </row>
    <row r="262" hidden="1" s="201">
      <c r="A262" s="192" t="inlineStr">
        <is>
          <t>Plague Brew</t>
        </is>
      </c>
      <c r="B262" s="31" t="inlineStr">
        <is>
          <t>Lemon Forester</t>
        </is>
      </c>
      <c r="C262" s="116" t="inlineStr">
        <is>
          <t>Mushroom Gose</t>
        </is>
      </c>
      <c r="D262" s="116" t="inlineStr">
        <is>
          <t>4,5 / 10,5 / 6</t>
        </is>
      </c>
      <c r="E262" s="42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2" s="86" t="inlineStr">
        <is>
          <t>ж/б 0.45 / 20</t>
        </is>
      </c>
      <c r="G262" s="116" t="inlineStr">
        <is>
          <t>24 мес.</t>
        </is>
      </c>
      <c r="H262" s="49" t="n">
        <v>249</v>
      </c>
      <c r="I262" s="93" t="inlineStr">
        <is>
          <t>много</t>
        </is>
      </c>
      <c r="J262" s="127" t="n">
        <v>0</v>
      </c>
      <c r="K262" s="127">
        <f>PRODUCT(H262,J262)</f>
        <v/>
      </c>
    </row>
    <row r="263" hidden="1" s="201">
      <c r="A263" s="205" t="inlineStr">
        <is>
          <t>Rebel Apple г. Москва</t>
        </is>
      </c>
      <c r="B263" s="204" t="n"/>
      <c r="C263" s="204" t="n"/>
      <c r="D263" s="204" t="n"/>
      <c r="E263" s="204" t="n"/>
      <c r="F263" s="204" t="n"/>
      <c r="G263" s="204" t="n"/>
      <c r="H263" s="204" t="n"/>
      <c r="I263" s="206" t="n"/>
      <c r="J263" s="90" t="n">
        <v>1</v>
      </c>
      <c r="K263" s="90" t="n"/>
    </row>
    <row r="264" hidden="1" s="201">
      <c r="A264" s="192" t="inlineStr">
        <is>
          <t>Rebel Apple</t>
        </is>
      </c>
      <c r="B264" s="32" t="inlineStr">
        <is>
          <t>Carmilla Сherry Cider Полусладкий</t>
        </is>
      </c>
      <c r="C264" s="75" t="inlineStr">
        <is>
          <t>Cider</t>
        </is>
      </c>
      <c r="D264" s="75" t="inlineStr">
        <is>
          <t xml:space="preserve">5 / - / - </t>
        </is>
      </c>
      <c r="E264" s="98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64" s="75" t="inlineStr">
        <is>
          <t>бут 0.33 / 20</t>
        </is>
      </c>
      <c r="G264" s="116" t="inlineStr">
        <is>
          <t>12 мес.</t>
        </is>
      </c>
      <c r="H264" s="57" t="n">
        <v>195</v>
      </c>
      <c r="I264" s="92" t="inlineStr">
        <is>
          <t>много</t>
        </is>
      </c>
      <c r="J264" s="127" t="n">
        <v>1</v>
      </c>
      <c r="K264" s="127">
        <f>PRODUCT(H264,J264)</f>
        <v/>
      </c>
    </row>
    <row r="265">
      <c r="A265" s="192" t="inlineStr">
        <is>
          <t>Rebel Apple</t>
        </is>
      </c>
      <c r="B265" s="26" t="inlineStr">
        <is>
          <t>Dickiy Crest Полусухой</t>
        </is>
      </c>
      <c r="C265" s="75" t="inlineStr">
        <is>
          <t>Cider</t>
        </is>
      </c>
      <c r="D265" s="75" t="inlineStr">
        <is>
          <t>6 / - / -</t>
        </is>
      </c>
      <c r="E265" s="11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65" s="112" t="inlineStr">
        <is>
          <t>бут 0.45 / 20</t>
        </is>
      </c>
      <c r="G265" s="63" t="inlineStr">
        <is>
          <t>24 мес.</t>
        </is>
      </c>
      <c r="H265" s="182" t="n">
        <v>239</v>
      </c>
      <c r="I265" s="93" t="inlineStr">
        <is>
          <t>много</t>
        </is>
      </c>
      <c r="J265" s="127" t="n">
        <v>1</v>
      </c>
      <c r="K265" s="127">
        <f>PRODUCT(H265,J265)</f>
        <v/>
      </c>
    </row>
    <row r="266" hidden="1" s="201">
      <c r="A266" s="192" t="inlineStr">
        <is>
          <t>Rebel Apple</t>
        </is>
      </c>
      <c r="B266" s="114" t="inlineStr">
        <is>
          <t>EDEN SIN. Глава III (2023). Полусладкий игристый</t>
        </is>
      </c>
      <c r="C266" s="75" t="inlineStr">
        <is>
          <t>Cider</t>
        </is>
      </c>
      <c r="D266" s="75" t="inlineStr">
        <is>
          <t xml:space="preserve">5 / - / - </t>
        </is>
      </c>
      <c r="E266" s="115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66" s="112" t="inlineStr">
        <is>
          <t>бут 0.75 / 6</t>
        </is>
      </c>
      <c r="G266" s="63" t="inlineStr">
        <is>
          <t>36 мес.</t>
        </is>
      </c>
      <c r="H266" s="182" t="n">
        <v>809</v>
      </c>
      <c r="I266" s="93" t="inlineStr">
        <is>
          <t>много</t>
        </is>
      </c>
      <c r="J266" s="127" t="n">
        <v>1</v>
      </c>
      <c r="K266" s="127">
        <f>PRODUCT(H266,J266)</f>
        <v/>
      </c>
    </row>
    <row r="267" hidden="1" s="201">
      <c r="A267" s="192" t="inlineStr">
        <is>
          <t>Rebel Apple</t>
        </is>
      </c>
      <c r="B267" s="114" t="inlineStr">
        <is>
          <t>Pet Nat by Rebel Apple сухой 
игристый</t>
        </is>
      </c>
      <c r="C267" s="75" t="inlineStr">
        <is>
          <t>Cider</t>
        </is>
      </c>
      <c r="D267" s="75" t="inlineStr">
        <is>
          <t>6 / - / -</t>
        </is>
      </c>
      <c r="E267" s="115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67" s="112" t="inlineStr">
        <is>
          <t>бут 0.75 / 6</t>
        </is>
      </c>
      <c r="G267" s="63" t="inlineStr">
        <is>
          <t>36 мес.</t>
        </is>
      </c>
      <c r="H267" s="182" t="n">
        <v>755</v>
      </c>
      <c r="I267" s="93" t="inlineStr">
        <is>
          <t>много</t>
        </is>
      </c>
      <c r="J267" s="127" t="n">
        <v>0</v>
      </c>
      <c r="K267" s="127">
        <f>PRODUCT(H267,J267)</f>
        <v/>
      </c>
    </row>
    <row r="268" hidden="1" s="201">
      <c r="A268" s="90" t="inlineStr">
        <is>
          <t>Red Button Brewery г. Москва</t>
        </is>
      </c>
      <c r="B268" s="202" t="n"/>
      <c r="C268" s="202" t="n"/>
      <c r="D268" s="202" t="n"/>
      <c r="E268" s="202" t="n"/>
      <c r="F268" s="202" t="n"/>
      <c r="G268" s="202" t="n"/>
      <c r="H268" s="202" t="n"/>
      <c r="I268" s="203" t="n"/>
      <c r="J268" s="90" t="n">
        <v>1</v>
      </c>
      <c r="K268" s="90" t="n"/>
    </row>
    <row r="269" hidden="1" s="201">
      <c r="A269" s="192" t="inlineStr">
        <is>
          <t>Red Button</t>
        </is>
      </c>
      <c r="B269" s="31" t="inlineStr">
        <is>
          <t>Aurora Tropicalis</t>
        </is>
      </c>
      <c r="C269" s="18" t="inlineStr">
        <is>
          <t>Smoothie Sour</t>
        </is>
      </c>
      <c r="D269" s="116" t="inlineStr">
        <is>
          <t>6 / - / -</t>
        </is>
      </c>
      <c r="E269" s="42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69" s="86" t="inlineStr">
        <is>
          <t>ж/б 0.45 / 20</t>
        </is>
      </c>
      <c r="G269" s="116" t="inlineStr">
        <is>
          <t>12 мес.</t>
        </is>
      </c>
      <c r="H269" s="49" t="n">
        <v>255</v>
      </c>
      <c r="I269" s="127" t="inlineStr">
        <is>
          <t>новинка</t>
        </is>
      </c>
      <c r="J269" s="127" t="n">
        <v>1</v>
      </c>
      <c r="K269" s="127">
        <f>PRODUCT(H269,J269)</f>
        <v/>
      </c>
    </row>
    <row r="270" hidden="1" s="201">
      <c r="A270" s="192" t="inlineStr">
        <is>
          <t>Red Button</t>
        </is>
      </c>
      <c r="B270" s="31" t="inlineStr">
        <is>
          <t>Berry Sour Kitchen Black Currant, Mint</t>
        </is>
      </c>
      <c r="C270" s="116" t="inlineStr">
        <is>
          <t>Sour Ale</t>
        </is>
      </c>
      <c r="D270" s="116" t="inlineStr">
        <is>
          <t>12 / - / -</t>
        </is>
      </c>
      <c r="E270" s="42" t="inlineStr">
        <is>
          <t>Тройной Саур с добавлением сока черной смородины и мяты.</t>
        </is>
      </c>
      <c r="F270" s="86" t="inlineStr">
        <is>
          <t>ж/б 0.45 / 20</t>
        </is>
      </c>
      <c r="G270" s="116" t="inlineStr">
        <is>
          <t>12 мес.</t>
        </is>
      </c>
      <c r="H270" s="49" t="n">
        <v>289</v>
      </c>
      <c r="I270" s="92" t="inlineStr">
        <is>
          <t>много</t>
        </is>
      </c>
      <c r="J270" s="127" t="n">
        <v>1</v>
      </c>
      <c r="K270" s="127">
        <f>PRODUCT(H270,J270)</f>
        <v/>
      </c>
    </row>
    <row r="271" hidden="1" s="201">
      <c r="A271" s="192" t="inlineStr">
        <is>
          <t>Red Button</t>
        </is>
      </c>
      <c r="B271" s="31" t="inlineStr">
        <is>
          <t>Cilantro</t>
        </is>
      </c>
      <c r="C271" s="116" t="inlineStr">
        <is>
          <t>Gose</t>
        </is>
      </c>
      <c r="D271" s="116" t="inlineStr">
        <is>
          <t>5 / - / -</t>
        </is>
      </c>
      <c r="E271" s="42" t="inlineStr">
        <is>
          <t>Mexican Style Gose с добавлением кинзы и лайма. Коллаборация с Екатеринбургский Taco Mago.</t>
        </is>
      </c>
      <c r="F271" s="86" t="inlineStr">
        <is>
          <t>ж/б 0.45 / 20</t>
        </is>
      </c>
      <c r="G271" s="116" t="inlineStr">
        <is>
          <t>12 мес.</t>
        </is>
      </c>
      <c r="H271" s="49" t="n">
        <v>205</v>
      </c>
      <c r="I271" s="48" t="n">
        <v>2</v>
      </c>
      <c r="J271" s="127" t="n">
        <v>1</v>
      </c>
      <c r="K271" s="127">
        <f>PRODUCT(H271,J271)</f>
        <v/>
      </c>
    </row>
    <row r="272" hidden="1" s="201">
      <c r="A272" s="192" t="inlineStr">
        <is>
          <t>Red Button</t>
        </is>
      </c>
      <c r="B272" s="31" t="inlineStr">
        <is>
          <t>Fondue Fountain</t>
        </is>
      </c>
      <c r="C272" s="116" t="inlineStr">
        <is>
          <t>Stout</t>
        </is>
      </c>
      <c r="D272" s="116" t="inlineStr">
        <is>
          <t>6 / - / -</t>
        </is>
      </c>
      <c r="E272" s="42" t="inlineStr">
        <is>
          <t>Молочный стаут с добавлением трёх видов шоколада.</t>
        </is>
      </c>
      <c r="F272" s="86" t="inlineStr">
        <is>
          <t>ж/б 0.45 / 20</t>
        </is>
      </c>
      <c r="G272" s="116" t="inlineStr">
        <is>
          <t>12 мес.</t>
        </is>
      </c>
      <c r="H272" s="49" t="n">
        <v>205</v>
      </c>
      <c r="I272" s="76" t="n">
        <v>2</v>
      </c>
      <c r="J272" s="127" t="n">
        <v>1</v>
      </c>
      <c r="K272" s="127">
        <f>PRODUCT(H272,J272)</f>
        <v/>
      </c>
    </row>
    <row r="273" hidden="1" s="201">
      <c r="A273" s="192" t="inlineStr">
        <is>
          <t>Red Button</t>
        </is>
      </c>
      <c r="B273" s="17" t="inlineStr">
        <is>
          <t>King Helle Dry Hop Batch</t>
        </is>
      </c>
      <c r="C273" s="116" t="inlineStr">
        <is>
          <t>Lager</t>
        </is>
      </c>
      <c r="D273" s="116" t="inlineStr">
        <is>
          <t>5,5 / - / -</t>
        </is>
      </c>
      <c r="E273" s="117" t="inlineStr">
        <is>
          <t>Dry Hop Helles.</t>
        </is>
      </c>
      <c r="F273" s="86" t="inlineStr">
        <is>
          <t>ж/б 0.5 / 20</t>
        </is>
      </c>
      <c r="G273" s="116" t="inlineStr">
        <is>
          <t>12 мес.</t>
        </is>
      </c>
      <c r="H273" s="49" t="n">
        <v>165</v>
      </c>
      <c r="I273" s="92" t="inlineStr">
        <is>
          <t>много</t>
        </is>
      </c>
      <c r="J273" s="127" t="n">
        <v>1</v>
      </c>
      <c r="K273" s="127">
        <f>PRODUCT(H273,J273)</f>
        <v/>
      </c>
    </row>
    <row r="274" hidden="1" s="201">
      <c r="A274" s="192" t="inlineStr">
        <is>
          <t>Red Button</t>
        </is>
      </c>
      <c r="B274" s="31" t="inlineStr">
        <is>
          <t>Kuts (Estragon Batch)</t>
        </is>
      </c>
      <c r="C274" s="116" t="inlineStr">
        <is>
          <t>Gose</t>
        </is>
      </c>
      <c r="D274" s="116" t="inlineStr">
        <is>
          <t>5 / - / -</t>
        </is>
      </c>
      <c r="E274" s="42" t="inlineStr">
        <is>
          <t>Эстрагон версия классического гозе.</t>
        </is>
      </c>
      <c r="F274" s="86" t="inlineStr">
        <is>
          <t>ж/б 0.45 / 20</t>
        </is>
      </c>
      <c r="G274" s="116" t="inlineStr">
        <is>
          <t>12 мес.</t>
        </is>
      </c>
      <c r="H274" s="49" t="n">
        <v>205</v>
      </c>
      <c r="I274" s="92" t="inlineStr">
        <is>
          <t>много</t>
        </is>
      </c>
      <c r="J274" s="127" t="n">
        <v>1</v>
      </c>
      <c r="K274" s="127">
        <f>PRODUCT(H274,J274)</f>
        <v/>
      </c>
    </row>
    <row r="275" hidden="1" s="201">
      <c r="A275" s="192" t="inlineStr">
        <is>
          <t>Red Button</t>
        </is>
      </c>
      <c r="B275" s="31" t="inlineStr">
        <is>
          <t>Kuts Original</t>
        </is>
      </c>
      <c r="C275" s="116" t="inlineStr">
        <is>
          <t>Gose</t>
        </is>
      </c>
      <c r="D275" s="116" t="inlineStr">
        <is>
          <t>5 / - / -</t>
        </is>
      </c>
      <c r="E275" s="42" t="inlineStr">
        <is>
          <t>Гозе добавлением соли и кориандра.</t>
        </is>
      </c>
      <c r="F275" s="86" t="inlineStr">
        <is>
          <t>ж/б 0.45 / 20</t>
        </is>
      </c>
      <c r="G275" s="116" t="inlineStr">
        <is>
          <t>12 мес.</t>
        </is>
      </c>
      <c r="H275" s="49" t="n">
        <v>195</v>
      </c>
      <c r="I275" s="92" t="inlineStr">
        <is>
          <t>много</t>
        </is>
      </c>
      <c r="J275" s="127" t="n">
        <v>1</v>
      </c>
      <c r="K275" s="127">
        <f>PRODUCT(H275,J275)</f>
        <v/>
      </c>
    </row>
    <row r="276" hidden="1" s="201">
      <c r="A276" s="192" t="inlineStr">
        <is>
          <t>Red Button</t>
        </is>
      </c>
      <c r="B276" s="31" t="inlineStr">
        <is>
          <t>Kuts Sea Salt Batch</t>
        </is>
      </c>
      <c r="C276" s="116" t="inlineStr">
        <is>
          <t>Gose</t>
        </is>
      </c>
      <c r="D276" s="116" t="inlineStr">
        <is>
          <t>5 / - / -</t>
        </is>
      </c>
      <c r="E276" s="42" t="inlineStr">
        <is>
          <t>Extra Salty Classic Gose with Sea Salt.</t>
        </is>
      </c>
      <c r="F276" s="86" t="inlineStr">
        <is>
          <t>ж/б 0.5 / 20</t>
        </is>
      </c>
      <c r="G276" s="116" t="inlineStr">
        <is>
          <t>12 мес.</t>
        </is>
      </c>
      <c r="H276" s="49" t="n">
        <v>195</v>
      </c>
      <c r="I276" s="92" t="inlineStr">
        <is>
          <t>много</t>
        </is>
      </c>
      <c r="J276" s="127" t="n">
        <v>1</v>
      </c>
      <c r="K276" s="127">
        <f>PRODUCT(H276,J276)</f>
        <v/>
      </c>
    </row>
    <row r="277" hidden="1" s="201">
      <c r="A277" s="192" t="inlineStr">
        <is>
          <t>Red Button</t>
        </is>
      </c>
      <c r="B277" s="31" t="inlineStr">
        <is>
          <t>Kuts Sichuan Batch</t>
        </is>
      </c>
      <c r="C277" s="116" t="inlineStr">
        <is>
          <t>Gose</t>
        </is>
      </c>
      <c r="D277" s="116" t="inlineStr">
        <is>
          <t>5 / - / -</t>
        </is>
      </c>
      <c r="E277" s="42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77" s="86" t="inlineStr">
        <is>
          <t>ж/б 0.45 / 20</t>
        </is>
      </c>
      <c r="G277" s="116" t="inlineStr">
        <is>
          <t>12 мес.</t>
        </is>
      </c>
      <c r="H277" s="49" t="n">
        <v>209</v>
      </c>
      <c r="I277" s="127" t="inlineStr">
        <is>
          <t>новинка</t>
        </is>
      </c>
      <c r="J277" s="127" t="n">
        <v>1</v>
      </c>
      <c r="K277" s="127">
        <f>PRODUCT(H277,J277)</f>
        <v/>
      </c>
    </row>
    <row r="278" hidden="1" s="201">
      <c r="A278" s="192" t="inlineStr">
        <is>
          <t>Red Button</t>
        </is>
      </c>
      <c r="B278" s="31" t="inlineStr">
        <is>
          <t>Matilde Frozen</t>
        </is>
      </c>
      <c r="C278" s="18" t="inlineStr">
        <is>
          <t>Frozen Imperial Stout</t>
        </is>
      </c>
      <c r="D278" s="116" t="inlineStr">
        <is>
          <t>20 / - / -</t>
        </is>
      </c>
      <c r="E278" s="42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78" s="86" t="inlineStr">
        <is>
          <t>ж/б 0.33 / 20</t>
        </is>
      </c>
      <c r="G278" s="116" t="inlineStr">
        <is>
          <t>12 мес.</t>
        </is>
      </c>
      <c r="H278" s="49" t="n">
        <v>395</v>
      </c>
      <c r="I278" s="127" t="inlineStr">
        <is>
          <t>новинка</t>
        </is>
      </c>
      <c r="J278" s="127" t="n">
        <v>1</v>
      </c>
      <c r="K278" s="127">
        <f>PRODUCT(H278,J278)</f>
        <v/>
      </c>
    </row>
    <row r="279" hidden="1" s="201">
      <c r="A279" s="192" t="inlineStr">
        <is>
          <t>Red Button</t>
        </is>
      </c>
      <c r="B279" s="17" t="inlineStr">
        <is>
          <t>Meet &amp; Greet (Black Tea X Raspberry)</t>
        </is>
      </c>
      <c r="C279" s="116" t="inlineStr">
        <is>
          <t>Hard Seltzer</t>
        </is>
      </c>
      <c r="D279" s="116" t="inlineStr">
        <is>
          <t>3,5 / - / -</t>
        </is>
      </c>
      <c r="E279" s="42" t="inlineStr">
        <is>
          <t>Hard Tea хард зельцер с добавлением черного чая, каркаде, и сублимированный малины.</t>
        </is>
      </c>
      <c r="F279" s="86" t="inlineStr">
        <is>
          <t>ж/б 0.45 / 20</t>
        </is>
      </c>
      <c r="G279" s="116" t="inlineStr">
        <is>
          <t>12 мес.</t>
        </is>
      </c>
      <c r="H279" s="49" t="n">
        <v>185</v>
      </c>
      <c r="I279" s="93" t="inlineStr">
        <is>
          <t>много</t>
        </is>
      </c>
      <c r="J279" s="127" t="n">
        <v>1</v>
      </c>
      <c r="K279" s="127">
        <f>PRODUCT(H279,J279)</f>
        <v/>
      </c>
    </row>
    <row r="280" hidden="1" s="201">
      <c r="A280" s="192" t="inlineStr">
        <is>
          <t>Red Button</t>
        </is>
      </c>
      <c r="B280" s="31" t="inlineStr">
        <is>
          <t>Melchior</t>
        </is>
      </c>
      <c r="C280" s="116" t="inlineStr">
        <is>
          <t>Frozen Graff</t>
        </is>
      </c>
      <c r="D280" s="116" t="inlineStr">
        <is>
          <t>18 / - / -</t>
        </is>
      </c>
      <c r="E280" s="42" t="inlineStr">
        <is>
          <t>Frozen Graff. Коллаборация с Ability.</t>
        </is>
      </c>
      <c r="F280" s="86" t="inlineStr">
        <is>
          <t>ж/б 0.33 / 20</t>
        </is>
      </c>
      <c r="G280" s="116" t="inlineStr">
        <is>
          <t>12 мес.</t>
        </is>
      </c>
      <c r="H280" s="49" t="n">
        <v>375</v>
      </c>
      <c r="I280" s="92" t="inlineStr">
        <is>
          <t>много</t>
        </is>
      </c>
      <c r="J280" s="127" t="n">
        <v>1</v>
      </c>
      <c r="K280" s="127">
        <f>PRODUCT(H280,J280)</f>
        <v/>
      </c>
    </row>
    <row r="281" hidden="1" s="201">
      <c r="A281" s="192" t="inlineStr">
        <is>
          <t>Red Button</t>
        </is>
      </c>
      <c r="B281" s="17" t="inlineStr">
        <is>
          <t>Micro Kuts (Little Gose)</t>
        </is>
      </c>
      <c r="C281" s="116" t="inlineStr">
        <is>
          <t>Gose</t>
        </is>
      </c>
      <c r="D281" s="116" t="inlineStr">
        <is>
          <t>3,5 / - / -</t>
        </is>
      </c>
      <c r="E281" s="42" t="inlineStr">
        <is>
          <t>Классический Микро гозе.</t>
        </is>
      </c>
      <c r="F281" s="86" t="inlineStr">
        <is>
          <t>ж/б 0.45 / 20</t>
        </is>
      </c>
      <c r="G281" s="116" t="inlineStr">
        <is>
          <t>12 мес.</t>
        </is>
      </c>
      <c r="H281" s="49" t="n">
        <v>179</v>
      </c>
      <c r="I281" s="93" t="inlineStr">
        <is>
          <t>много</t>
        </is>
      </c>
      <c r="J281" s="127" t="n">
        <v>1</v>
      </c>
      <c r="K281" s="127">
        <f>PRODUCT(H281,J281)</f>
        <v/>
      </c>
    </row>
    <row r="282" hidden="1" s="201">
      <c r="A282" s="192" t="inlineStr">
        <is>
          <t>Red Button</t>
        </is>
      </c>
      <c r="B282" s="31" t="inlineStr">
        <is>
          <t>Pure Shores</t>
        </is>
      </c>
      <c r="C282" s="116" t="inlineStr">
        <is>
          <t>Stout</t>
        </is>
      </c>
      <c r="D282" s="116" t="inlineStr">
        <is>
          <t>6,5 / - / 45</t>
        </is>
      </c>
      <c r="E282" s="42" t="inlineStr">
        <is>
          <t>Молочно-шоколадный стаут с добавлением печенья.</t>
        </is>
      </c>
      <c r="F282" s="86" t="inlineStr">
        <is>
          <t>ж/б 0.5 / 20</t>
        </is>
      </c>
      <c r="G282" s="116" t="inlineStr">
        <is>
          <t>12 мес.</t>
        </is>
      </c>
      <c r="H282" s="49" t="n">
        <v>205</v>
      </c>
      <c r="I282" s="92" t="inlineStr">
        <is>
          <t>много</t>
        </is>
      </c>
      <c r="J282" s="127" t="n">
        <v>1</v>
      </c>
      <c r="K282" s="127">
        <f>PRODUCT(H282,J282)</f>
        <v/>
      </c>
    </row>
    <row r="283" hidden="1" s="201">
      <c r="A283" s="192" t="inlineStr">
        <is>
          <t>Red Button</t>
        </is>
      </c>
      <c r="B283" s="31" t="inlineStr">
        <is>
          <t>Puzzle Berry Sour</t>
        </is>
      </c>
      <c r="C283" s="116" t="inlineStr">
        <is>
          <t>Sour Ale</t>
        </is>
      </c>
      <c r="D283" s="116" t="inlineStr">
        <is>
          <t>5 / - / -</t>
        </is>
      </c>
      <c r="E283" s="42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83" s="86" t="inlineStr">
        <is>
          <t>ж/б 0.45 / 20</t>
        </is>
      </c>
      <c r="G283" s="116" t="inlineStr">
        <is>
          <t>12 мес.</t>
        </is>
      </c>
      <c r="H283" s="49" t="n">
        <v>215</v>
      </c>
      <c r="I283" s="127" t="inlineStr">
        <is>
          <t>новинка</t>
        </is>
      </c>
      <c r="J283" s="127" t="n">
        <v>1</v>
      </c>
      <c r="K283" s="127">
        <f>PRODUCT(H283,J283)</f>
        <v/>
      </c>
    </row>
    <row r="284" hidden="1" s="201">
      <c r="A284" s="192" t="inlineStr">
        <is>
          <t>Red Button</t>
        </is>
      </c>
      <c r="B284" s="31" t="inlineStr">
        <is>
          <t>Tale of Us (#2025 Batch)</t>
        </is>
      </c>
      <c r="C284" s="116" t="inlineStr">
        <is>
          <t>IPA</t>
        </is>
      </c>
      <c r="D284" s="116" t="inlineStr">
        <is>
          <t>7 / - / -</t>
        </is>
      </c>
      <c r="E284" s="42" t="inlineStr">
        <is>
          <t>West Coast IPA с добавлением юдзу.</t>
        </is>
      </c>
      <c r="F284" s="86" t="inlineStr">
        <is>
          <t>ж/б 0.45 / 20</t>
        </is>
      </c>
      <c r="G284" s="116" t="inlineStr">
        <is>
          <t>12 мес.</t>
        </is>
      </c>
      <c r="H284" s="49" t="n">
        <v>235</v>
      </c>
      <c r="I284" s="92" t="inlineStr">
        <is>
          <t>много</t>
        </is>
      </c>
      <c r="J284" s="127" t="n">
        <v>1</v>
      </c>
      <c r="K284" s="127">
        <f>PRODUCT(H284,J284)</f>
        <v/>
      </c>
    </row>
    <row r="285" hidden="1" s="201">
      <c r="A285" s="192" t="inlineStr">
        <is>
          <t>Red Button</t>
        </is>
      </c>
      <c r="B285" s="31" t="inlineStr">
        <is>
          <t>Tartigo</t>
        </is>
      </c>
      <c r="C285" s="18" t="inlineStr">
        <is>
          <t>Sour IPA</t>
        </is>
      </c>
      <c r="D285" s="116" t="inlineStr">
        <is>
          <t>5 / - / -</t>
        </is>
      </c>
      <c r="E285" s="42" t="inlineStr">
        <is>
          <t>Sour Ipa с сухим охмелением сортом Krush (HBC586).</t>
        </is>
      </c>
      <c r="F285" s="86" t="inlineStr">
        <is>
          <t>ж/б 0.45 / 20</t>
        </is>
      </c>
      <c r="G285" s="116" t="inlineStr">
        <is>
          <t>12 мес.</t>
        </is>
      </c>
      <c r="H285" s="49" t="n">
        <v>235</v>
      </c>
      <c r="I285" s="127" t="inlineStr">
        <is>
          <t>новинка</t>
        </is>
      </c>
      <c r="J285" s="127" t="n">
        <v>1</v>
      </c>
      <c r="K285" s="127">
        <f>PRODUCT(H285,J285)</f>
        <v/>
      </c>
    </row>
    <row r="286" hidden="1" s="201">
      <c r="A286" s="192" t="inlineStr">
        <is>
          <t>Red Button</t>
        </is>
      </c>
      <c r="B286" s="17" t="inlineStr">
        <is>
          <t>Tropical Trip</t>
        </is>
      </c>
      <c r="C286" s="18" t="inlineStr">
        <is>
          <t>Imperial Smoothie Sour</t>
        </is>
      </c>
      <c r="D286" s="116" t="inlineStr">
        <is>
          <t>12 / - / -</t>
        </is>
      </c>
      <c r="E286" s="42" t="inlineStr">
        <is>
          <t>Империал смузи саур с маракуйей и ванилью. Коллаборация с Underdog.</t>
        </is>
      </c>
      <c r="F286" s="86" t="inlineStr">
        <is>
          <t>ж/б 0.45 / 20</t>
        </is>
      </c>
      <c r="G286" s="116" t="inlineStr">
        <is>
          <t>12 мес.</t>
        </is>
      </c>
      <c r="H286" s="49" t="n">
        <v>259</v>
      </c>
      <c r="I286" s="76" t="n">
        <v>2</v>
      </c>
      <c r="J286" s="127" t="n">
        <v>1</v>
      </c>
      <c r="K286" s="127">
        <f>PRODUCT(H286,J286)</f>
        <v/>
      </c>
    </row>
    <row r="287" hidden="1" s="201">
      <c r="A287" s="192" t="inlineStr">
        <is>
          <t>Red Button</t>
        </is>
      </c>
      <c r="B287" s="17" t="inlineStr">
        <is>
          <t>Vari Corn &amp; Rice Beer</t>
        </is>
      </c>
      <c r="C287" s="116" t="inlineStr">
        <is>
          <t>Lager</t>
        </is>
      </c>
      <c r="D287" s="116" t="inlineStr">
        <is>
          <t>4,5 / - / -</t>
        </is>
      </c>
      <c r="E287" s="42" t="inlineStr">
        <is>
          <t xml:space="preserve">Пиво с добавлением кукурузы и риса. Обладает мягким и легким вкусом с выраженной свежестью. </t>
        </is>
      </c>
      <c r="F287" s="86" t="inlineStr">
        <is>
          <t>ж/б 0.45 / 20</t>
        </is>
      </c>
      <c r="G287" s="116" t="inlineStr">
        <is>
          <t>12 мес.</t>
        </is>
      </c>
      <c r="H287" s="49" t="n">
        <v>169</v>
      </c>
      <c r="I287" s="92" t="inlineStr">
        <is>
          <t>много</t>
        </is>
      </c>
      <c r="J287" s="127" t="n">
        <v>1</v>
      </c>
      <c r="K287" s="127">
        <f>PRODUCT(H287,J287)</f>
        <v/>
      </c>
    </row>
    <row r="288" hidden="1" s="201">
      <c r="A288" s="192" t="inlineStr">
        <is>
          <t>Red Button</t>
        </is>
      </c>
      <c r="B288" s="31" t="inlineStr">
        <is>
          <t>Vari Oat Beer</t>
        </is>
      </c>
      <c r="C288" s="116" t="inlineStr">
        <is>
          <t>Oat Lager</t>
        </is>
      </c>
      <c r="D288" s="116" t="inlineStr">
        <is>
          <t>5 / - / -</t>
        </is>
      </c>
      <c r="E288" s="42" t="inlineStr">
        <is>
          <t>Лагер с добавлением несоложеных овсяных хлопьев.</t>
        </is>
      </c>
      <c r="F288" s="86" t="inlineStr">
        <is>
          <t>ж/б 0.45 / 20</t>
        </is>
      </c>
      <c r="G288" s="116" t="inlineStr">
        <is>
          <t>12 мес.</t>
        </is>
      </c>
      <c r="H288" s="49" t="n">
        <v>175</v>
      </c>
      <c r="I288" s="127" t="inlineStr">
        <is>
          <t>новинка</t>
        </is>
      </c>
      <c r="J288" s="127" t="n">
        <v>1</v>
      </c>
      <c r="K288" s="127">
        <f>PRODUCT(H288,J288)</f>
        <v/>
      </c>
    </row>
    <row r="289" hidden="1" s="201">
      <c r="A289" s="192" t="inlineStr">
        <is>
          <t>Red Button</t>
        </is>
      </c>
      <c r="B289" s="31" t="inlineStr">
        <is>
          <t>XTV-1 (Frozen)</t>
        </is>
      </c>
      <c r="C289" s="18" t="inlineStr">
        <is>
          <t>Frozen Imperial Stout</t>
        </is>
      </c>
      <c r="D289" s="116" t="inlineStr">
        <is>
          <t>18 / - / -</t>
        </is>
      </c>
      <c r="E289" s="42" t="inlineStr">
        <is>
          <t xml:space="preserve"> Вымороженный стаут с добавлением кленового сиропа. Коллаборация с Ability.</t>
        </is>
      </c>
      <c r="F289" s="86" t="inlineStr">
        <is>
          <t>ж/б 0.33 / 20</t>
        </is>
      </c>
      <c r="G289" s="116" t="inlineStr">
        <is>
          <t>12 мес.</t>
        </is>
      </c>
      <c r="H289" s="49" t="n">
        <v>375</v>
      </c>
      <c r="I289" s="92" t="inlineStr">
        <is>
          <t>много</t>
        </is>
      </c>
      <c r="J289" s="127" t="n">
        <v>0</v>
      </c>
      <c r="K289" s="127">
        <f>PRODUCT(H289,J289)</f>
        <v/>
      </c>
    </row>
    <row r="290" hidden="1" s="201">
      <c r="A290" s="90" t="inlineStr">
        <is>
          <t>Red Rocket Brewery г. Екатеринбург</t>
        </is>
      </c>
      <c r="B290" s="202" t="n"/>
      <c r="C290" s="202" t="n"/>
      <c r="D290" s="202" t="n"/>
      <c r="E290" s="202" t="n"/>
      <c r="F290" s="202" t="n"/>
      <c r="G290" s="202" t="n"/>
      <c r="H290" s="202" t="n"/>
      <c r="I290" s="203" t="n"/>
      <c r="J290" s="90" t="n">
        <v>1</v>
      </c>
      <c r="K290" s="90" t="n"/>
    </row>
    <row r="291" hidden="1" s="201">
      <c r="A291" s="192" t="inlineStr">
        <is>
          <t>Red Rocket</t>
        </is>
      </c>
      <c r="B291" s="30" t="inlineStr">
        <is>
          <t>Citrus Groove</t>
        </is>
      </c>
      <c r="C291" s="116" t="inlineStr">
        <is>
          <t>Sour Ale</t>
        </is>
      </c>
      <c r="D291" s="116" t="inlineStr">
        <is>
          <t>5 / 15 / -</t>
        </is>
      </c>
      <c r="E291" s="42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1" s="86" t="inlineStr">
        <is>
          <t>ж/б 0.45 / 20</t>
        </is>
      </c>
      <c r="G291" s="116" t="inlineStr">
        <is>
          <t>6 мес.</t>
        </is>
      </c>
      <c r="H291" s="49" t="n">
        <v>245</v>
      </c>
      <c r="I291" s="127" t="inlineStr">
        <is>
          <t>новинка</t>
        </is>
      </c>
      <c r="J291" s="127" t="n">
        <v>1</v>
      </c>
      <c r="K291" s="127">
        <f>PRODUCT(H291,J291)</f>
        <v/>
      </c>
    </row>
    <row r="292" hidden="1" s="201">
      <c r="A292" s="192" t="inlineStr">
        <is>
          <t>Red Rocket</t>
        </is>
      </c>
      <c r="B292" s="28" t="inlineStr">
        <is>
          <t>Ding-Dong</t>
        </is>
      </c>
      <c r="C292" s="116" t="inlineStr">
        <is>
          <t>Sour Ale</t>
        </is>
      </c>
      <c r="D292" s="116" t="inlineStr">
        <is>
          <t>5 / 15 / -</t>
        </is>
      </c>
      <c r="E292" s="42" t="inlineStr">
        <is>
          <t>Фруктовый саур эль с малиной и маракуйей. Сварен специально для фестиваля ДЗЫНЬ.</t>
        </is>
      </c>
      <c r="F292" s="86" t="inlineStr">
        <is>
          <t>ж/б 0.45 / 20</t>
        </is>
      </c>
      <c r="G292" s="116" t="inlineStr">
        <is>
          <t>6 мес.</t>
        </is>
      </c>
      <c r="H292" s="49" t="n">
        <v>245</v>
      </c>
      <c r="I292" s="127" t="inlineStr">
        <is>
          <t>новинка</t>
        </is>
      </c>
      <c r="J292" s="127" t="n">
        <v>1</v>
      </c>
      <c r="K292" s="127">
        <f>PRODUCT(H292,J292)</f>
        <v/>
      </c>
    </row>
    <row r="293" hidden="1" s="201">
      <c r="A293" s="192" t="inlineStr">
        <is>
          <t>Red Rocket</t>
        </is>
      </c>
      <c r="B293" s="30" t="inlineStr">
        <is>
          <t>DIPA</t>
        </is>
      </c>
      <c r="C293" s="116" t="inlineStr">
        <is>
          <t>DIPA</t>
        </is>
      </c>
      <c r="D293" s="116" t="inlineStr">
        <is>
          <t>8 / 17 / 40</t>
        </is>
      </c>
      <c r="E293" s="42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3" s="86" t="inlineStr">
        <is>
          <t>ж/б 0.45 / 20</t>
        </is>
      </c>
      <c r="G293" s="116" t="inlineStr">
        <is>
          <t>6 мес.</t>
        </is>
      </c>
      <c r="H293" s="49" t="n">
        <v>185</v>
      </c>
      <c r="I293" s="92" t="inlineStr">
        <is>
          <t>много</t>
        </is>
      </c>
      <c r="J293" s="127" t="n">
        <v>1</v>
      </c>
      <c r="K293" s="127">
        <f>PRODUCT(H293,J293)</f>
        <v/>
      </c>
    </row>
    <row r="294" hidden="1" s="201">
      <c r="A294" s="192" t="inlineStr">
        <is>
          <t>Red Rocket</t>
        </is>
      </c>
      <c r="B294" s="17" t="inlineStr">
        <is>
          <t>Domofon APA</t>
        </is>
      </c>
      <c r="C294" s="116" t="inlineStr">
        <is>
          <t>APA</t>
        </is>
      </c>
      <c r="D294" s="116" t="inlineStr">
        <is>
          <t>5,5 / 13 / 30</t>
        </is>
      </c>
      <c r="E294" s="42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294" s="86" t="inlineStr">
        <is>
          <t>ж/б 0.45 / 20</t>
        </is>
      </c>
      <c r="G294" s="116" t="inlineStr">
        <is>
          <t>6 мес.</t>
        </is>
      </c>
      <c r="H294" s="49" t="n">
        <v>225</v>
      </c>
      <c r="I294" s="93" t="inlineStr">
        <is>
          <t>много</t>
        </is>
      </c>
      <c r="J294" s="127" t="n">
        <v>1</v>
      </c>
      <c r="K294" s="127">
        <f>PRODUCT(H294,J294)</f>
        <v/>
      </c>
    </row>
    <row r="295" hidden="1" s="201">
      <c r="A295" s="192" t="inlineStr">
        <is>
          <t>Red Rocket</t>
        </is>
      </c>
      <c r="B295" s="17" t="inlineStr">
        <is>
          <t>Dry Stout</t>
        </is>
      </c>
      <c r="C295" s="116" t="inlineStr">
        <is>
          <t>Stout</t>
        </is>
      </c>
      <c r="D295" s="116" t="inlineStr">
        <is>
          <t>4,2 / - / -</t>
        </is>
      </c>
      <c r="E295" s="42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295" s="86" t="inlineStr">
        <is>
          <t>ж/б 0.5 / 12</t>
        </is>
      </c>
      <c r="G295" s="116" t="inlineStr">
        <is>
          <t>6 мес.</t>
        </is>
      </c>
      <c r="H295" s="49" t="n">
        <v>159</v>
      </c>
      <c r="I295" s="92" t="inlineStr">
        <is>
          <t>много</t>
        </is>
      </c>
      <c r="J295" s="127" t="n">
        <v>1</v>
      </c>
      <c r="K295" s="127">
        <f>PRODUCT(H295,J295)</f>
        <v/>
      </c>
    </row>
    <row r="296" hidden="1" s="201">
      <c r="A296" s="192" t="inlineStr">
        <is>
          <t>Red Rocket</t>
        </is>
      </c>
      <c r="B296" s="17" t="inlineStr">
        <is>
          <t>ESB</t>
        </is>
      </c>
      <c r="C296" s="116" t="inlineStr">
        <is>
          <t>ESB</t>
        </is>
      </c>
      <c r="D296" s="116" t="inlineStr">
        <is>
          <t>6 / - / -</t>
        </is>
      </c>
      <c r="E296" s="42" t="inlineStr">
        <is>
          <t>Классический английский ESB медного цвета с лёгкой цветочной ароматикой хмелей East Kent Goldings и Fuggles.</t>
        </is>
      </c>
      <c r="F296" s="86" t="inlineStr">
        <is>
          <t>ж/б 0.5 / 12</t>
        </is>
      </c>
      <c r="G296" s="116" t="inlineStr">
        <is>
          <t>6 мес.</t>
        </is>
      </c>
      <c r="H296" s="49" t="n">
        <v>169</v>
      </c>
      <c r="I296" s="92" t="inlineStr">
        <is>
          <t>много</t>
        </is>
      </c>
      <c r="J296" s="127" t="n">
        <v>1</v>
      </c>
      <c r="K296" s="127">
        <f>PRODUCT(H296,J296)</f>
        <v/>
      </c>
    </row>
    <row r="297" hidden="1" s="201">
      <c r="A297" s="192" t="inlineStr">
        <is>
          <t>Red Rocket</t>
        </is>
      </c>
      <c r="B297" s="31" t="inlineStr">
        <is>
          <t>HOPPY LAGER</t>
        </is>
      </c>
      <c r="C297" s="116" t="inlineStr">
        <is>
          <t>Lager</t>
        </is>
      </c>
      <c r="D297" s="116" t="inlineStr">
        <is>
          <t>5 / 12 / 35</t>
        </is>
      </c>
      <c r="E297" s="42" t="inlineStr">
        <is>
          <t>Hoppy Lager, продолжения обновления базовой линейки, охмеленный Centennial.</t>
        </is>
      </c>
      <c r="F297" s="86" t="inlineStr">
        <is>
          <t>ж/б 0.45 / 12</t>
        </is>
      </c>
      <c r="G297" s="116" t="inlineStr">
        <is>
          <t>6 мес.</t>
        </is>
      </c>
      <c r="H297" s="49" t="n">
        <v>175</v>
      </c>
      <c r="I297" s="93" t="inlineStr">
        <is>
          <t>много</t>
        </is>
      </c>
      <c r="J297" s="127" t="n">
        <v>1</v>
      </c>
      <c r="K297" s="127">
        <f>PRODUCT(H297,J297)</f>
        <v/>
      </c>
    </row>
    <row r="298" hidden="1" s="201">
      <c r="A298" s="192" t="inlineStr">
        <is>
          <t>Red Rocket</t>
        </is>
      </c>
      <c r="B298" s="17" t="inlineStr">
        <is>
          <t>Kellerbier</t>
        </is>
      </c>
      <c r="C298" s="116" t="inlineStr">
        <is>
          <t>Kellerbier</t>
        </is>
      </c>
      <c r="D298" s="116" t="inlineStr">
        <is>
          <t>6 / 14 / -</t>
        </is>
      </c>
      <c r="E298" s="42" t="inlineStr">
        <is>
          <t>Kellerbier - нефильтрованный лагер в немецком стиле.</t>
        </is>
      </c>
      <c r="F298" s="86" t="inlineStr">
        <is>
          <t>ж/б 0.45 / 20</t>
        </is>
      </c>
      <c r="G298" s="116" t="inlineStr">
        <is>
          <t>6 мес.</t>
        </is>
      </c>
      <c r="H298" s="49" t="n">
        <v>165</v>
      </c>
      <c r="I298" s="93" t="inlineStr">
        <is>
          <t>много</t>
        </is>
      </c>
      <c r="J298" s="127" t="n">
        <v>1</v>
      </c>
      <c r="K298" s="127">
        <f>PRODUCT(H298,J298)</f>
        <v/>
      </c>
    </row>
    <row r="299" hidden="1" s="201">
      <c r="A299" s="192" t="inlineStr">
        <is>
          <t>Red Rocket</t>
        </is>
      </c>
      <c r="B299" s="30" t="inlineStr">
        <is>
          <t>KODAMA</t>
        </is>
      </c>
      <c r="C299" s="116" t="inlineStr">
        <is>
          <t>Rice Lager</t>
        </is>
      </c>
      <c r="D299" s="116" t="inlineStr">
        <is>
          <t>4,5 / 11 / -</t>
        </is>
      </c>
      <c r="E299" s="42" t="inlineStr">
        <is>
          <t>Рисовый лагер в японском стиле с добавлением цитруса юдзу. Сварен специально для фестиваля Lobotomy Day 2025.</t>
        </is>
      </c>
      <c r="F299" s="86" t="inlineStr">
        <is>
          <t>ж/б 0.45 / 20</t>
        </is>
      </c>
      <c r="G299" s="116" t="inlineStr">
        <is>
          <t>6 мес.</t>
        </is>
      </c>
      <c r="H299" s="49" t="n">
        <v>175</v>
      </c>
      <c r="I299" s="93" t="inlineStr">
        <is>
          <t>много</t>
        </is>
      </c>
      <c r="J299" s="127" t="n">
        <v>1</v>
      </c>
      <c r="K299" s="127">
        <f>PRODUCT(H299,J299)</f>
        <v/>
      </c>
    </row>
    <row r="300" hidden="1" s="201">
      <c r="A300" s="192" t="inlineStr">
        <is>
          <t>Red Rocket</t>
        </is>
      </c>
      <c r="B300" s="17" t="inlineStr">
        <is>
          <t>Kolsch</t>
        </is>
      </c>
      <c r="C300" s="116" t="inlineStr">
        <is>
          <t>Kölsch</t>
        </is>
      </c>
      <c r="D300" s="116" t="inlineStr">
        <is>
          <t>4,8 / 11 / -</t>
        </is>
      </c>
      <c r="E300" s="42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0" s="86" t="inlineStr">
        <is>
          <t>ж/б 0.45 / 20</t>
        </is>
      </c>
      <c r="G300" s="116" t="inlineStr">
        <is>
          <t>6 мес.</t>
        </is>
      </c>
      <c r="H300" s="49" t="n">
        <v>165</v>
      </c>
      <c r="I300" s="93" t="inlineStr">
        <is>
          <t>много</t>
        </is>
      </c>
      <c r="J300" s="127" t="n">
        <v>1</v>
      </c>
      <c r="K300" s="127">
        <f>PRODUCT(H300,J300)</f>
        <v/>
      </c>
    </row>
    <row r="301" hidden="1" s="201">
      <c r="A301" s="192" t="inlineStr">
        <is>
          <t>Red Rocket</t>
        </is>
      </c>
      <c r="B301" s="17" t="inlineStr">
        <is>
          <t>Krasnie Mokasiny</t>
        </is>
      </c>
      <c r="C301" s="116" t="inlineStr">
        <is>
          <t>Sour Ale</t>
        </is>
      </c>
      <c r="D301" s="116" t="inlineStr">
        <is>
          <t>5 / - / -</t>
        </is>
      </c>
      <c r="E301" s="42" t="inlineStr">
        <is>
          <t>Фруктовый саур эль, сваренный к фестивалю LOBOTOMY DAY 2025. С добавлением малины, граната, мяты и саган-дайля.</t>
        </is>
      </c>
      <c r="F301" s="86" t="inlineStr">
        <is>
          <t>ж/б 0.45 / 20</t>
        </is>
      </c>
      <c r="G301" s="116" t="inlineStr">
        <is>
          <t>6 мес.</t>
        </is>
      </c>
      <c r="H301" s="49" t="n">
        <v>299</v>
      </c>
      <c r="I301" s="93" t="inlineStr">
        <is>
          <t>много</t>
        </is>
      </c>
      <c r="J301" s="127" t="n">
        <v>1</v>
      </c>
      <c r="K301" s="127">
        <f>PRODUCT(H301,J301)</f>
        <v/>
      </c>
    </row>
    <row r="302" hidden="1" s="201">
      <c r="A302" s="192" t="inlineStr">
        <is>
          <t>Red Rocket</t>
        </is>
      </c>
      <c r="B302" s="17" t="inlineStr">
        <is>
          <t>Perennial Quest</t>
        </is>
      </c>
      <c r="C302" s="79" t="inlineStr">
        <is>
          <t>Sour Ale</t>
        </is>
      </c>
      <c r="D302" s="79" t="inlineStr">
        <is>
          <t>5 / - / -</t>
        </is>
      </c>
      <c r="E302" s="64" t="inlineStr">
        <is>
          <t>Фруктовый саур эль с кофе, вишней и легкой пряностью чили перца. Содержит лактозу.</t>
        </is>
      </c>
      <c r="F302" s="62" t="inlineStr">
        <is>
          <t>ж/б 0.45 / 20</t>
        </is>
      </c>
      <c r="G302" s="79" t="inlineStr">
        <is>
          <t>6 мес.</t>
        </is>
      </c>
      <c r="H302" s="52" t="n">
        <v>245</v>
      </c>
      <c r="I302" s="93" t="inlineStr">
        <is>
          <t>много</t>
        </is>
      </c>
      <c r="J302" s="127" t="n">
        <v>1</v>
      </c>
      <c r="K302" s="127">
        <f>PRODUCT(H302,J302)</f>
        <v/>
      </c>
    </row>
    <row r="303" hidden="1" s="201">
      <c r="A303" s="192" t="inlineStr">
        <is>
          <t>Red Rocket</t>
        </is>
      </c>
      <c r="B303" s="118" t="inlineStr">
        <is>
          <t>Pils</t>
        </is>
      </c>
      <c r="C303" s="105" t="inlineStr">
        <is>
          <t>Lager</t>
        </is>
      </c>
      <c r="D303" s="105" t="inlineStr">
        <is>
          <t>4,5 / - / -</t>
        </is>
      </c>
      <c r="E303" s="106" t="inlineStr">
        <is>
          <t>Классический светлый лагер в чешском стиле.</t>
        </is>
      </c>
      <c r="F303" s="107" t="inlineStr">
        <is>
          <t>ж/б 0.45 / 12</t>
        </is>
      </c>
      <c r="G303" s="105" t="inlineStr">
        <is>
          <t>6 мес.</t>
        </is>
      </c>
      <c r="H303" s="108" t="n">
        <v>149</v>
      </c>
      <c r="I303" s="109" t="inlineStr">
        <is>
          <t>много</t>
        </is>
      </c>
      <c r="J303" s="127" t="n">
        <v>1</v>
      </c>
      <c r="K303" s="127">
        <f>PRODUCT(H303,J303)</f>
        <v/>
      </c>
    </row>
    <row r="304" hidden="1" s="201">
      <c r="A304" s="192" t="inlineStr">
        <is>
          <t>Red Rocket</t>
        </is>
      </c>
      <c r="B304" s="28" t="inlineStr">
        <is>
          <t>Transistor</t>
        </is>
      </c>
      <c r="C304" s="116" t="inlineStr">
        <is>
          <t>Hazy IPA</t>
        </is>
      </c>
      <c r="D304" s="116" t="inlineStr">
        <is>
          <t>6,5 / 14,5 / 45</t>
        </is>
      </c>
      <c r="E304" s="42" t="inlineStr">
        <is>
          <t>Лёгкий и приятный, при этом насыщенный Hazy IPA, охмелённый Citra, Superdelic и Motueka.</t>
        </is>
      </c>
      <c r="F304" s="86" t="inlineStr">
        <is>
          <t>ж/б 0.45 / 20</t>
        </is>
      </c>
      <c r="G304" s="116" t="inlineStr">
        <is>
          <t>6 мес.</t>
        </is>
      </c>
      <c r="H304" s="49" t="n">
        <v>235</v>
      </c>
      <c r="I304" s="127" t="inlineStr">
        <is>
          <t>новинка</t>
        </is>
      </c>
      <c r="J304" s="127" t="n">
        <v>1</v>
      </c>
      <c r="K304" s="127">
        <f>PRODUCT(H304,J304)</f>
        <v/>
      </c>
    </row>
    <row r="305" hidden="1" s="201">
      <c r="A305" s="192" t="inlineStr">
        <is>
          <t>Red Rocket</t>
        </is>
      </c>
      <c r="B305" s="28" t="inlineStr">
        <is>
          <t>We took a photo for this collab a year and a half ago</t>
        </is>
      </c>
      <c r="C305" s="116" t="inlineStr">
        <is>
          <t>Triple IPA</t>
        </is>
      </c>
      <c r="D305" s="116" t="inlineStr">
        <is>
          <t>10 / - / 40</t>
        </is>
      </c>
      <c r="E305" s="42" t="inlineStr">
        <is>
          <t>Тройной IPA, сваренный к фестивалю LOBOTOMY DAY 2025. Охмеленный Mosaic и El Dorado. Коллаборация с пивоварней Horror Brewing.</t>
        </is>
      </c>
      <c r="F305" s="86" t="inlineStr">
        <is>
          <t>ж/б 0.45 / 20</t>
        </is>
      </c>
      <c r="G305" s="116" t="inlineStr">
        <is>
          <t>6 мес.</t>
        </is>
      </c>
      <c r="H305" s="49" t="n">
        <v>299</v>
      </c>
      <c r="I305" s="93" t="inlineStr">
        <is>
          <t>много</t>
        </is>
      </c>
      <c r="J305" s="127" t="n">
        <v>1</v>
      </c>
      <c r="K305" s="127">
        <f>PRODUCT(H305,J305)</f>
        <v/>
      </c>
    </row>
    <row r="306" hidden="1" s="201">
      <c r="A306" s="192" t="inlineStr">
        <is>
          <t>Red Rocket</t>
        </is>
      </c>
      <c r="B306" s="28" t="inlineStr">
        <is>
          <t>Where Is My Wind?</t>
        </is>
      </c>
      <c r="C306" s="116" t="inlineStr">
        <is>
          <t>APA</t>
        </is>
      </c>
      <c r="D306" s="116" t="inlineStr">
        <is>
          <t>5,5 / 13 / 40</t>
        </is>
      </c>
      <c r="E306" s="42" t="inlineStr">
        <is>
          <t>Классический APA в стиле западного побережья. Охмелен Citra, Motueka, Mosaic.</t>
        </is>
      </c>
      <c r="F306" s="86" t="inlineStr">
        <is>
          <t>ж/б 0.45 / 20</t>
        </is>
      </c>
      <c r="G306" s="116" t="inlineStr">
        <is>
          <t>6 мес.</t>
        </is>
      </c>
      <c r="H306" s="49" t="n">
        <v>225</v>
      </c>
      <c r="I306" s="127" t="inlineStr">
        <is>
          <t>новинка</t>
        </is>
      </c>
      <c r="J306" s="127" t="n">
        <v>0</v>
      </c>
      <c r="K306" s="127">
        <f>PRODUCT(H306,J306)</f>
        <v/>
      </c>
    </row>
    <row r="307" hidden="1" ht="22.5" customHeight="1" s="201">
      <c r="A307" s="54" t="inlineStr">
        <is>
          <t>Selfmade Brewery г. Москва</t>
        </is>
      </c>
      <c r="B307" s="202" t="n"/>
      <c r="C307" s="202" t="n"/>
      <c r="D307" s="202" t="n"/>
      <c r="E307" s="202" t="n"/>
      <c r="F307" s="202" t="n"/>
      <c r="G307" s="202" t="n"/>
      <c r="H307" s="202" t="n"/>
      <c r="I307" s="203" t="n"/>
      <c r="J307" s="54" t="n">
        <v>1</v>
      </c>
      <c r="K307" s="54" t="n"/>
    </row>
    <row r="308" hidden="1" s="201">
      <c r="A308" s="157" t="inlineStr">
        <is>
          <t>Selfmade</t>
        </is>
      </c>
      <c r="B308" s="31" t="inlineStr">
        <is>
          <t>Arcane Gleam</t>
        </is>
      </c>
      <c r="C308" s="116" t="inlineStr">
        <is>
          <t>NE IPA</t>
        </is>
      </c>
      <c r="D308" s="116" t="inlineStr">
        <is>
          <t>6,5 / 17 / 42</t>
        </is>
      </c>
      <c r="E308" s="42" t="inlineStr">
        <is>
          <t>New England IPA. Охмеление - HBC 638, HBC 1134 и Krush Cryo.</t>
        </is>
      </c>
      <c r="F308" s="86" t="inlineStr">
        <is>
          <t>ж/б 0.45 / 12</t>
        </is>
      </c>
      <c r="G308" s="116" t="inlineStr">
        <is>
          <t>12 мес.</t>
        </is>
      </c>
      <c r="H308" s="49" t="n">
        <v>249</v>
      </c>
      <c r="I308" s="76" t="n">
        <v>3</v>
      </c>
      <c r="J308" s="127" t="n">
        <v>1</v>
      </c>
      <c r="K308" s="127">
        <f>PRODUCT(H308,J308)</f>
        <v/>
      </c>
    </row>
    <row r="309" hidden="1" s="201">
      <c r="A309" s="157" t="inlineStr">
        <is>
          <t>Selfmade</t>
        </is>
      </c>
      <c r="B309" s="31" t="inlineStr">
        <is>
          <t>Bright Queen</t>
        </is>
      </c>
      <c r="C309" s="116" t="inlineStr">
        <is>
          <t>Smoothie</t>
        </is>
      </c>
      <c r="D309" s="116" t="inlineStr">
        <is>
          <t>5,3 / 18 / 10</t>
        </is>
      </c>
      <c r="E309" s="42" t="inlineStr">
        <is>
          <t>Smoothie sour ale с добавлением пюре манго, гуавы и каламанси!</t>
        </is>
      </c>
      <c r="F309" s="86" t="inlineStr">
        <is>
          <t>ж/б 0.45 / 12</t>
        </is>
      </c>
      <c r="G309" s="116" t="inlineStr">
        <is>
          <t>12 мес.</t>
        </is>
      </c>
      <c r="H309" s="49" t="n">
        <v>275</v>
      </c>
      <c r="I309" s="92" t="inlineStr">
        <is>
          <t>много</t>
        </is>
      </c>
      <c r="J309" s="127" t="n">
        <v>1</v>
      </c>
      <c r="K309" s="127">
        <f>PRODUCT(H309,J309)</f>
        <v/>
      </c>
    </row>
    <row r="310" hidden="1" s="201">
      <c r="A310" s="157" t="inlineStr">
        <is>
          <t>Selfmade</t>
        </is>
      </c>
      <c r="B310" s="31" t="inlineStr">
        <is>
          <t>Ceremony</t>
        </is>
      </c>
      <c r="C310" s="18" t="inlineStr">
        <is>
          <t>DDH Jasmine OAT IPA</t>
        </is>
      </c>
      <c r="D310" s="116" t="inlineStr">
        <is>
          <t>6,9 / 17 / 42</t>
        </is>
      </c>
      <c r="E310" s="42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0" s="86" t="inlineStr">
        <is>
          <t>ж/б 0.45 / 12</t>
        </is>
      </c>
      <c r="G310" s="116" t="inlineStr">
        <is>
          <t>8 мес.</t>
        </is>
      </c>
      <c r="H310" s="49" t="n">
        <v>229</v>
      </c>
      <c r="I310" s="92" t="inlineStr">
        <is>
          <t>много</t>
        </is>
      </c>
      <c r="J310" s="127" t="n">
        <v>1</v>
      </c>
      <c r="K310" s="127">
        <f>PRODUCT(H310,J310)</f>
        <v/>
      </c>
    </row>
    <row r="311" hidden="1" s="201">
      <c r="A311" s="157" t="inlineStr">
        <is>
          <t>Selfmade</t>
        </is>
      </c>
      <c r="B311" s="31" t="inlineStr">
        <is>
          <t>Deathspeaker</t>
        </is>
      </c>
      <c r="C311" s="116" t="inlineStr">
        <is>
          <t>NE DIPA</t>
        </is>
      </c>
      <c r="D311" s="116" t="inlineStr">
        <is>
          <t>8,5 / 19 / 65</t>
        </is>
      </c>
      <c r="E311" s="42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1" s="86" t="inlineStr">
        <is>
          <t>ж/б 0.45 / 12</t>
        </is>
      </c>
      <c r="G311" s="116" t="inlineStr">
        <is>
          <t>8 мес.</t>
        </is>
      </c>
      <c r="H311" s="49" t="n">
        <v>255</v>
      </c>
      <c r="I311" s="92" t="inlineStr">
        <is>
          <t>много</t>
        </is>
      </c>
      <c r="J311" s="127" t="n">
        <v>1</v>
      </c>
      <c r="K311" s="127">
        <f>PRODUCT(H311,J311)</f>
        <v/>
      </c>
    </row>
    <row r="312" hidden="1" s="201">
      <c r="A312" s="157" t="inlineStr">
        <is>
          <t>Selfmade</t>
        </is>
      </c>
      <c r="B312" s="31" t="inlineStr">
        <is>
          <t>Druids Elixir</t>
        </is>
      </c>
      <c r="C312" s="116" t="inlineStr">
        <is>
          <t>Smoothie</t>
        </is>
      </c>
      <c r="D312" s="116" t="inlineStr">
        <is>
          <t>5 / 17 / 6</t>
        </is>
      </c>
      <c r="E312" s="42" t="inlineStr">
        <is>
          <t>Смузи Sour Ale. Киви, фейхоа, зеленое яблоко и мята.</t>
        </is>
      </c>
      <c r="F312" s="86" t="inlineStr">
        <is>
          <t>ж/б 0.45 / 12</t>
        </is>
      </c>
      <c r="G312" s="116" t="inlineStr">
        <is>
          <t>12 мес.</t>
        </is>
      </c>
      <c r="H312" s="49" t="n">
        <v>275</v>
      </c>
      <c r="I312" s="76" t="n">
        <v>3</v>
      </c>
      <c r="J312" s="127" t="n">
        <v>1</v>
      </c>
      <c r="K312" s="127">
        <f>PRODUCT(H312,J312)</f>
        <v/>
      </c>
    </row>
    <row r="313" hidden="1" s="201">
      <c r="A313" s="157" t="inlineStr">
        <is>
          <t>Selfmade</t>
        </is>
      </c>
      <c r="B313" s="31" t="inlineStr">
        <is>
          <t>Ethereal Mist</t>
        </is>
      </c>
      <c r="C313" s="116" t="inlineStr">
        <is>
          <t>NE IPA</t>
        </is>
      </c>
      <c r="D313" s="116" t="inlineStr">
        <is>
          <t>6 / 16 / 47</t>
        </is>
      </c>
      <c r="E313" s="42" t="inlineStr">
        <is>
          <t>New England IPA. Охмеление - Mosaic, Mosaic Cryo и Galaxy.</t>
        </is>
      </c>
      <c r="F313" s="86" t="inlineStr">
        <is>
          <t>ж/б 0.45 / 12</t>
        </is>
      </c>
      <c r="G313" s="116" t="inlineStr">
        <is>
          <t>12 мес.</t>
        </is>
      </c>
      <c r="H313" s="49" t="n">
        <v>249</v>
      </c>
      <c r="I313" s="92" t="inlineStr">
        <is>
          <t>много</t>
        </is>
      </c>
      <c r="J313" s="127" t="n">
        <v>1</v>
      </c>
      <c r="K313" s="127">
        <f>PRODUCT(H313,J313)</f>
        <v/>
      </c>
    </row>
    <row r="314" hidden="1" s="201">
      <c r="A314" s="157" t="inlineStr">
        <is>
          <t>Selfmade</t>
        </is>
      </c>
      <c r="B314" s="17" t="inlineStr">
        <is>
          <t>Evolve! Morph 7</t>
        </is>
      </c>
      <c r="C314" s="116" t="inlineStr">
        <is>
          <t>NE IPA</t>
        </is>
      </c>
      <c r="D314" s="116" t="inlineStr">
        <is>
          <t>6,3 / 17 / 47</t>
        </is>
      </c>
      <c r="E314" s="42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14" s="86" t="inlineStr">
        <is>
          <t>ж/б 0.45 / 12</t>
        </is>
      </c>
      <c r="G314" s="116" t="inlineStr">
        <is>
          <t>8 мес.</t>
        </is>
      </c>
      <c r="H314" s="49" t="n">
        <v>235</v>
      </c>
      <c r="I314" s="92" t="inlineStr">
        <is>
          <t>много</t>
        </is>
      </c>
      <c r="J314" s="127" t="n">
        <v>1</v>
      </c>
      <c r="K314" s="127">
        <f>PRODUCT(H314,J314)</f>
        <v/>
      </c>
    </row>
    <row r="315" hidden="1" s="201">
      <c r="A315" s="157" t="inlineStr">
        <is>
          <t>Selfmade</t>
        </is>
      </c>
      <c r="B315" s="118" t="inlineStr">
        <is>
          <t>Fire Hazard</t>
        </is>
      </c>
      <c r="C315" s="119" t="inlineStr">
        <is>
          <t>Tomato Gose</t>
        </is>
      </c>
      <c r="D315" s="119" t="inlineStr">
        <is>
          <t>6,2 / - / 10</t>
        </is>
      </c>
      <c r="E315" s="120" t="inlineStr">
        <is>
          <t>Hot Tomato Gose. Tomatoes, Home Grown Hot Peppers.</t>
        </is>
      </c>
      <c r="F315" s="121" t="inlineStr">
        <is>
          <t>ж/б 0.45 / 12</t>
        </is>
      </c>
      <c r="G315" s="119" t="inlineStr">
        <is>
          <t>12 мес.</t>
        </is>
      </c>
      <c r="H315" s="122" t="n">
        <v>225</v>
      </c>
      <c r="I315" s="123" t="inlineStr">
        <is>
          <t>много</t>
        </is>
      </c>
      <c r="J315" s="127" t="n">
        <v>1</v>
      </c>
      <c r="K315" s="127">
        <f>PRODUCT(H315,J315)</f>
        <v/>
      </c>
    </row>
    <row r="316" hidden="1" s="201">
      <c r="A316" s="157" t="inlineStr">
        <is>
          <t>Selfmade</t>
        </is>
      </c>
      <c r="B316" s="31" t="inlineStr">
        <is>
          <t>Fruitality</t>
        </is>
      </c>
      <c r="C316" s="18" t="inlineStr">
        <is>
          <t>Fruited Milk IPA</t>
        </is>
      </c>
      <c r="D316" s="116" t="inlineStr">
        <is>
          <t>6,8 / 18 / 64</t>
        </is>
      </c>
      <c r="E316" s="42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16" s="86" t="inlineStr">
        <is>
          <t>ж/б 0.45 / 12</t>
        </is>
      </c>
      <c r="G316" s="116" t="inlineStr">
        <is>
          <t>8 мес.</t>
        </is>
      </c>
      <c r="H316" s="49" t="n">
        <v>205</v>
      </c>
      <c r="I316" s="92" t="inlineStr">
        <is>
          <t>много</t>
        </is>
      </c>
      <c r="J316" s="127" t="n">
        <v>1</v>
      </c>
      <c r="K316" s="127">
        <f>PRODUCT(H316,J316)</f>
        <v/>
      </c>
    </row>
    <row r="317" hidden="1" s="201">
      <c r="A317" s="157" t="inlineStr">
        <is>
          <t>Selfmade</t>
        </is>
      </c>
      <c r="B317" s="31" t="inlineStr">
        <is>
          <t>Harvest Lord</t>
        </is>
      </c>
      <c r="C317" s="116" t="inlineStr">
        <is>
          <t>Pumpkin Porter</t>
        </is>
      </c>
      <c r="D317" s="116" t="inlineStr">
        <is>
          <t>6,5 / 20 / 32</t>
        </is>
      </c>
      <c r="E317" s="42" t="inlineStr">
        <is>
          <t>Тыквенный портер с корицей, кардамоном и кофе.</t>
        </is>
      </c>
      <c r="F317" s="86" t="inlineStr">
        <is>
          <t>ж/б 0.45 / 12</t>
        </is>
      </c>
      <c r="G317" s="116" t="inlineStr">
        <is>
          <t>12 мес.</t>
        </is>
      </c>
      <c r="H317" s="49" t="n">
        <v>245</v>
      </c>
      <c r="I317" s="92" t="inlineStr">
        <is>
          <t>много</t>
        </is>
      </c>
      <c r="J317" s="127" t="n">
        <v>1</v>
      </c>
      <c r="K317" s="127">
        <f>PRODUCT(H317,J317)</f>
        <v/>
      </c>
    </row>
    <row r="318" hidden="1" s="201">
      <c r="A318" s="157" t="inlineStr">
        <is>
          <t>Selfmade</t>
        </is>
      </c>
      <c r="B318" s="31" t="inlineStr">
        <is>
          <t>Invaders Strike Back</t>
        </is>
      </c>
      <c r="C318" s="116" t="inlineStr">
        <is>
          <t>Smoothie</t>
        </is>
      </c>
      <c r="D318" s="116" t="inlineStr">
        <is>
          <t>5 / 17 / 8</t>
        </is>
      </c>
      <c r="E318" s="42" t="inlineStr">
        <is>
          <t>Smoothie Sour Ale. Guava, Blueberry &amp; Passionfruit.</t>
        </is>
      </c>
      <c r="F318" s="86" t="inlineStr">
        <is>
          <t>ж/б 0.45 / 12</t>
        </is>
      </c>
      <c r="G318" s="116" t="inlineStr">
        <is>
          <t>12 мес.</t>
        </is>
      </c>
      <c r="H318" s="49" t="n">
        <v>269</v>
      </c>
      <c r="I318" s="92" t="inlineStr">
        <is>
          <t>много</t>
        </is>
      </c>
      <c r="J318" s="127" t="n">
        <v>1</v>
      </c>
      <c r="K318" s="127">
        <f>PRODUCT(H318,J318)</f>
        <v/>
      </c>
    </row>
    <row r="319" hidden="1" s="201">
      <c r="A319" s="157" t="inlineStr">
        <is>
          <t>Selfmade</t>
        </is>
      </c>
      <c r="B319" s="31" t="inlineStr">
        <is>
          <t>Juicy Rebels</t>
        </is>
      </c>
      <c r="C319" s="116" t="inlineStr">
        <is>
          <t>Smoothie</t>
        </is>
      </c>
      <c r="D319" s="116" t="inlineStr">
        <is>
          <t>5 / 19 / 8</t>
        </is>
      </c>
      <c r="E319" s="42" t="inlineStr">
        <is>
          <t>Smoothie Sour Ale. Mango, Cactus, Coconut &amp; Lemon.</t>
        </is>
      </c>
      <c r="F319" s="86" t="inlineStr">
        <is>
          <t>ж/б 0.45 / 12</t>
        </is>
      </c>
      <c r="G319" s="116" t="inlineStr">
        <is>
          <t>12 мес.</t>
        </is>
      </c>
      <c r="H319" s="49" t="n">
        <v>255</v>
      </c>
      <c r="I319" s="92" t="inlineStr">
        <is>
          <t>много</t>
        </is>
      </c>
      <c r="J319" s="127" t="n">
        <v>1</v>
      </c>
      <c r="K319" s="127">
        <f>PRODUCT(H319,J319)</f>
        <v/>
      </c>
    </row>
    <row r="320" hidden="1" s="201">
      <c r="A320" s="157" t="inlineStr">
        <is>
          <t>Selfmade</t>
        </is>
      </c>
      <c r="B320" s="31" t="inlineStr">
        <is>
          <t>Mako APA</t>
        </is>
      </c>
      <c r="C320" s="116" t="inlineStr">
        <is>
          <t>APA</t>
        </is>
      </c>
      <c r="D320" s="116" t="inlineStr">
        <is>
          <t>5,3 / 13 / 40</t>
        </is>
      </c>
      <c r="E320" s="42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0" s="86" t="inlineStr">
        <is>
          <t>ж/б 0.45 / 12</t>
        </is>
      </c>
      <c r="G320" s="116" t="inlineStr">
        <is>
          <t>8 мес.</t>
        </is>
      </c>
      <c r="H320" s="49" t="n">
        <v>195</v>
      </c>
      <c r="I320" s="92" t="inlineStr">
        <is>
          <t>много</t>
        </is>
      </c>
      <c r="J320" s="127" t="n">
        <v>1</v>
      </c>
      <c r="K320" s="127">
        <f>PRODUCT(H320,J320)</f>
        <v/>
      </c>
    </row>
    <row r="321" hidden="1" s="201">
      <c r="A321" s="157" t="inlineStr">
        <is>
          <t>Selfmade</t>
        </is>
      </c>
      <c r="B321" s="31" t="inlineStr">
        <is>
          <t>Megafauna</t>
        </is>
      </c>
      <c r="C321" s="116" t="inlineStr">
        <is>
          <t>Triple IPA</t>
        </is>
      </c>
      <c r="D321" s="116" t="inlineStr">
        <is>
          <t>10 / - / 100</t>
        </is>
      </c>
      <c r="E321" s="42" t="inlineStr">
        <is>
          <t>Triple IPA. Охмеление - Simcoe Cryo, Simcoe, Centennial, Hopburst Geronimo.</t>
        </is>
      </c>
      <c r="F321" s="86" t="inlineStr">
        <is>
          <t>ж/б 0.45 / 12</t>
        </is>
      </c>
      <c r="G321" s="116" t="inlineStr">
        <is>
          <t>12 мес.</t>
        </is>
      </c>
      <c r="H321" s="49" t="n">
        <v>299</v>
      </c>
      <c r="I321" s="92" t="inlineStr">
        <is>
          <t>много</t>
        </is>
      </c>
      <c r="J321" s="127" t="n">
        <v>1</v>
      </c>
      <c r="K321" s="127">
        <f>PRODUCT(H321,J321)</f>
        <v/>
      </c>
    </row>
    <row r="322" hidden="1" s="201">
      <c r="A322" s="157" t="inlineStr">
        <is>
          <t>Selfmade</t>
        </is>
      </c>
      <c r="B322" s="31" t="inlineStr">
        <is>
          <t>Meltdown: Sunset</t>
        </is>
      </c>
      <c r="C322" s="116" t="inlineStr">
        <is>
          <t>Smoothie</t>
        </is>
      </c>
      <c r="D322" s="116" t="inlineStr">
        <is>
          <t>5 / 20 / 6</t>
        </is>
      </c>
      <c r="E322" s="42" t="inlineStr">
        <is>
          <t>SMOOTHIE SOUR ALE с добавлением манго, персика, ванили и банана! Melt the ice!</t>
        </is>
      </c>
      <c r="F322" s="86" t="inlineStr">
        <is>
          <t>ж/б 0.45 / 12</t>
        </is>
      </c>
      <c r="G322" s="116" t="inlineStr">
        <is>
          <t>12 мес.</t>
        </is>
      </c>
      <c r="H322" s="49" t="n">
        <v>265</v>
      </c>
      <c r="I322" s="76" t="n">
        <v>3</v>
      </c>
      <c r="J322" s="127" t="n">
        <v>1</v>
      </c>
      <c r="K322" s="127">
        <f>PRODUCT(H322,J322)</f>
        <v/>
      </c>
    </row>
    <row r="323" hidden="1" s="201">
      <c r="A323" s="157" t="inlineStr">
        <is>
          <t>Selfmade</t>
        </is>
      </c>
      <c r="B323" s="31" t="inlineStr">
        <is>
          <t>Pepper Keeper</t>
        </is>
      </c>
      <c r="C323" s="116" t="inlineStr">
        <is>
          <t>Vegetable Gose</t>
        </is>
      </c>
      <c r="D323" s="116" t="inlineStr">
        <is>
          <t>5 / 17 / 8</t>
        </is>
      </c>
      <c r="E323" s="42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3" s="86" t="inlineStr">
        <is>
          <t>ж/б 0.45 / 12</t>
        </is>
      </c>
      <c r="G323" s="116" t="inlineStr">
        <is>
          <t>12 мес.</t>
        </is>
      </c>
      <c r="H323" s="49" t="n">
        <v>219</v>
      </c>
      <c r="I323" s="92" t="inlineStr">
        <is>
          <t>много</t>
        </is>
      </c>
      <c r="J323" s="127" t="n">
        <v>1</v>
      </c>
      <c r="K323" s="127">
        <f>PRODUCT(H323,J323)</f>
        <v/>
      </c>
    </row>
    <row r="324" hidden="1" s="201">
      <c r="A324" s="157" t="inlineStr">
        <is>
          <t>Selfmade</t>
        </is>
      </c>
      <c r="B324" s="31" t="inlineStr">
        <is>
          <t>Railgun</t>
        </is>
      </c>
      <c r="C324" s="116" t="inlineStr">
        <is>
          <t>AIPA</t>
        </is>
      </c>
      <c r="D324" s="116" t="inlineStr">
        <is>
          <t>6,2 / - / 65</t>
        </is>
      </c>
      <c r="E324" s="42" t="inlineStr">
        <is>
          <t>American IPA. Охмеление - Idaho 7, Idaho 7 Cryo, Sabro, Citra.</t>
        </is>
      </c>
      <c r="F324" s="86" t="inlineStr">
        <is>
          <t>ж/б 0.45 / 12</t>
        </is>
      </c>
      <c r="G324" s="116" t="inlineStr">
        <is>
          <t>12 мес.</t>
        </is>
      </c>
      <c r="H324" s="49" t="n">
        <v>229</v>
      </c>
      <c r="I324" s="92" t="inlineStr">
        <is>
          <t>много</t>
        </is>
      </c>
      <c r="J324" s="127" t="n">
        <v>1</v>
      </c>
      <c r="K324" s="127">
        <f>PRODUCT(H324,J324)</f>
        <v/>
      </c>
    </row>
    <row r="325" hidden="1" s="201">
      <c r="A325" s="157" t="inlineStr">
        <is>
          <t>Selfmade</t>
        </is>
      </c>
      <c r="B325" s="31" t="inlineStr">
        <is>
          <t>Rocket Jump</t>
        </is>
      </c>
      <c r="C325" s="116" t="inlineStr">
        <is>
          <t>AIPA</t>
        </is>
      </c>
      <c r="D325" s="116" t="inlineStr">
        <is>
          <t>6,3 / 15 / 49</t>
        </is>
      </c>
      <c r="E325" s="42" t="inlineStr">
        <is>
          <t>American IPA с добавлением цедры лайма и лимона, охмеленный Citra, Lemon Drop, Warrior, Cascade.</t>
        </is>
      </c>
      <c r="F325" s="86" t="inlineStr">
        <is>
          <t>ж/б 0.45 / 12</t>
        </is>
      </c>
      <c r="G325" s="116" t="inlineStr">
        <is>
          <t>8 мес.</t>
        </is>
      </c>
      <c r="H325" s="49" t="n">
        <v>205</v>
      </c>
      <c r="I325" s="92" t="inlineStr">
        <is>
          <t>много</t>
        </is>
      </c>
      <c r="J325" s="127" t="n">
        <v>1</v>
      </c>
      <c r="K325" s="127">
        <f>PRODUCT(H325,J325)</f>
        <v/>
      </c>
    </row>
    <row r="326" hidden="1" s="201">
      <c r="A326" s="157" t="inlineStr">
        <is>
          <t>Selfmade</t>
        </is>
      </c>
      <c r="B326" s="31" t="inlineStr">
        <is>
          <t>Shroomdalf</t>
        </is>
      </c>
      <c r="C326" s="116" t="inlineStr">
        <is>
          <t>Mushroom Gose</t>
        </is>
      </c>
      <c r="D326" s="116" t="inlineStr">
        <is>
          <t>5,2 / 15 / 8</t>
        </is>
      </c>
      <c r="E326" s="42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26" s="86" t="inlineStr">
        <is>
          <t>ж/б 0.45 / 12</t>
        </is>
      </c>
      <c r="G326" s="116" t="inlineStr">
        <is>
          <t>8 мес.</t>
        </is>
      </c>
      <c r="H326" s="49" t="n">
        <v>215</v>
      </c>
      <c r="I326" s="92" t="inlineStr">
        <is>
          <t>много</t>
        </is>
      </c>
      <c r="J326" s="127" t="n">
        <v>1</v>
      </c>
      <c r="K326" s="127">
        <f>PRODUCT(H326,J326)</f>
        <v/>
      </c>
    </row>
    <row r="327" hidden="1" s="201">
      <c r="A327" s="157" t="inlineStr">
        <is>
          <t>Selfmade</t>
        </is>
      </c>
      <c r="B327" s="118" t="inlineStr">
        <is>
          <t>Shroomie</t>
        </is>
      </c>
      <c r="C327" s="119" t="inlineStr">
        <is>
          <t>Mushroom Gose</t>
        </is>
      </c>
      <c r="D327" s="119" t="inlineStr">
        <is>
          <t>4 / 14 / 14</t>
        </is>
      </c>
      <c r="E327" s="120" t="inlineStr">
        <is>
          <t>Грибной гозе. Много шиитаке и шампиньонов, чеснок.</t>
        </is>
      </c>
      <c r="F327" s="121" t="inlineStr">
        <is>
          <t>ж/б 0.45 / 12</t>
        </is>
      </c>
      <c r="G327" s="119" t="inlineStr">
        <is>
          <t>12 мес.</t>
        </is>
      </c>
      <c r="H327" s="122" t="n">
        <v>219</v>
      </c>
      <c r="I327" s="124" t="inlineStr">
        <is>
          <t>новинка</t>
        </is>
      </c>
      <c r="J327" s="127" t="n">
        <v>1</v>
      </c>
      <c r="K327" s="127">
        <f>PRODUCT(H327,J327)</f>
        <v/>
      </c>
    </row>
    <row r="328" hidden="1" s="201">
      <c r="A328" s="157" t="inlineStr">
        <is>
          <t>Selfmade</t>
        </is>
      </c>
      <c r="B328" s="31" t="inlineStr">
        <is>
          <t>Space Moth</t>
        </is>
      </c>
      <c r="C328" s="116" t="inlineStr">
        <is>
          <t>Imperial Sour Ale</t>
        </is>
      </c>
      <c r="D328" s="116" t="inlineStr">
        <is>
          <t>10 / 27 / 10</t>
        </is>
      </c>
      <c r="E328" s="42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28" s="86" t="inlineStr">
        <is>
          <t>ж/б 0.45 / 12</t>
        </is>
      </c>
      <c r="G328" s="116" t="inlineStr">
        <is>
          <t>12 мес.</t>
        </is>
      </c>
      <c r="H328" s="49" t="n">
        <v>289</v>
      </c>
      <c r="I328" s="76" t="n">
        <v>4</v>
      </c>
      <c r="J328" s="127" t="n">
        <v>1</v>
      </c>
      <c r="K328" s="127">
        <f>PRODUCT(H328,J328)</f>
        <v/>
      </c>
    </row>
    <row r="329" hidden="1" s="201">
      <c r="A329" s="157" t="inlineStr">
        <is>
          <t>Selfmade</t>
        </is>
      </c>
      <c r="B329" s="31" t="inlineStr">
        <is>
          <t>Tomato Method</t>
        </is>
      </c>
      <c r="C329" s="116" t="inlineStr">
        <is>
          <t>Tomato Gose</t>
        </is>
      </c>
      <c r="D329" s="116" t="inlineStr">
        <is>
          <t>5,6 / 17 / 12</t>
        </is>
      </c>
      <c r="E329" s="42" t="inlineStr">
        <is>
          <t>Tomato Method в стиле томатного гозе выполнен с добавлением большого количества томатной пасты и специй.</t>
        </is>
      </c>
      <c r="F329" s="86" t="inlineStr">
        <is>
          <t>ж/б 0.45 / 12</t>
        </is>
      </c>
      <c r="G329" s="116" t="inlineStr">
        <is>
          <t>8 мес.</t>
        </is>
      </c>
      <c r="H329" s="49" t="n">
        <v>205</v>
      </c>
      <c r="I329" s="92" t="inlineStr">
        <is>
          <t>много</t>
        </is>
      </c>
      <c r="J329" s="127" t="n">
        <v>1</v>
      </c>
      <c r="K329" s="127">
        <f>PRODUCT(H329,J329)</f>
        <v/>
      </c>
    </row>
    <row r="330" hidden="1" s="201">
      <c r="A330" s="157" t="inlineStr">
        <is>
          <t>Selfmade</t>
        </is>
      </c>
      <c r="B330" s="118" t="inlineStr">
        <is>
          <t>Tomato Method - Kimchi</t>
        </is>
      </c>
      <c r="C330" s="119" t="inlineStr">
        <is>
          <t>Tomato Gose</t>
        </is>
      </c>
      <c r="D330" s="119" t="inlineStr">
        <is>
          <t>5,9 / - / 10</t>
        </is>
      </c>
      <c r="E330" s="120" t="inlineStr">
        <is>
          <t>Hot Tomato Gose. Tomatoes, Kimchi.</t>
        </is>
      </c>
      <c r="F330" s="121" t="inlineStr">
        <is>
          <t>ж/б 0.45 / 12</t>
        </is>
      </c>
      <c r="G330" s="119" t="inlineStr">
        <is>
          <t>12 мес.</t>
        </is>
      </c>
      <c r="H330" s="122" t="n">
        <v>225</v>
      </c>
      <c r="I330" s="92" t="inlineStr">
        <is>
          <t>много</t>
        </is>
      </c>
      <c r="J330" s="127" t="n">
        <v>1</v>
      </c>
      <c r="K330" s="127">
        <f>PRODUCT(H330,J330)</f>
        <v/>
      </c>
    </row>
    <row r="331" hidden="1" s="201">
      <c r="A331" s="125" t="inlineStr">
        <is>
          <t>Selfmade</t>
        </is>
      </c>
      <c r="B331" s="30" t="inlineStr">
        <is>
          <t>Tropical Slasher</t>
        </is>
      </c>
      <c r="C331" s="18" t="inlineStr">
        <is>
          <t>Smoothie</t>
        </is>
      </c>
      <c r="D331" s="18" t="inlineStr">
        <is>
          <t>6,9 / 21 / 20</t>
        </is>
      </c>
      <c r="E331" s="42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1" s="159" t="inlineStr">
        <is>
          <t>ж/б 0.45 / 12</t>
        </is>
      </c>
      <c r="G331" s="18" t="inlineStr">
        <is>
          <t>8 мес.</t>
        </is>
      </c>
      <c r="H331" s="147" t="n">
        <v>215</v>
      </c>
      <c r="I331" s="126" t="inlineStr">
        <is>
          <t>много</t>
        </is>
      </c>
      <c r="J331" s="127" t="n">
        <v>1</v>
      </c>
      <c r="K331" s="127">
        <f>PRODUCT(H331,J331)</f>
        <v/>
      </c>
    </row>
    <row r="332" hidden="1" s="201">
      <c r="A332" s="157" t="inlineStr">
        <is>
          <t>Selfmade</t>
        </is>
      </c>
      <c r="B332" s="118" t="inlineStr">
        <is>
          <t>Void Garden</t>
        </is>
      </c>
      <c r="C332" s="119" t="inlineStr">
        <is>
          <t>Smoothie</t>
        </is>
      </c>
      <c r="D332" s="119" t="inlineStr">
        <is>
          <t>5,2 / - / 10</t>
        </is>
      </c>
      <c r="E332" s="120" t="inlineStr">
        <is>
          <t>Смузи саур эль. Черника, черная смородина.</t>
        </is>
      </c>
      <c r="F332" s="121" t="inlineStr">
        <is>
          <t>ж/б 0.45 / 12</t>
        </is>
      </c>
      <c r="G332" s="119" t="inlineStr">
        <is>
          <t>12 мес.</t>
        </is>
      </c>
      <c r="H332" s="122" t="n">
        <v>269</v>
      </c>
      <c r="I332" s="123" t="inlineStr">
        <is>
          <t>много</t>
        </is>
      </c>
      <c r="J332" s="127" t="n">
        <v>1</v>
      </c>
      <c r="K332" s="127">
        <f>PRODUCT(H332,J332)</f>
        <v/>
      </c>
    </row>
    <row r="333" hidden="1" s="201">
      <c r="A333" s="157" t="inlineStr">
        <is>
          <t>Selfmade</t>
        </is>
      </c>
      <c r="B333" s="31" t="inlineStr">
        <is>
          <t>Warlock Ritual</t>
        </is>
      </c>
      <c r="C333" s="116" t="inlineStr">
        <is>
          <t>Pastry Sour Ale</t>
        </is>
      </c>
      <c r="D333" s="116" t="inlineStr">
        <is>
          <t>5,6 / 18 / 15</t>
        </is>
      </c>
      <c r="E333" s="42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33" s="86" t="inlineStr">
        <is>
          <t>ж/б 0.45 / 12</t>
        </is>
      </c>
      <c r="G333" s="116" t="inlineStr">
        <is>
          <t>12 мес.</t>
        </is>
      </c>
      <c r="H333" s="49" t="n">
        <v>235</v>
      </c>
      <c r="I333" s="92" t="inlineStr">
        <is>
          <t>много</t>
        </is>
      </c>
      <c r="J333" s="127" t="n">
        <v>0</v>
      </c>
      <c r="K333" s="127">
        <f>PRODUCT(H333,J333)</f>
        <v/>
      </c>
    </row>
    <row r="334" hidden="1" s="201">
      <c r="A334" s="54" t="inlineStr">
        <is>
          <t>Snowcap Brewing г. Петрозаводск</t>
        </is>
      </c>
      <c r="B334" s="202" t="n"/>
      <c r="C334" s="202" t="n"/>
      <c r="D334" s="202" t="n"/>
      <c r="E334" s="202" t="n"/>
      <c r="F334" s="202" t="n"/>
      <c r="G334" s="202" t="n"/>
      <c r="H334" s="202" t="n"/>
      <c r="I334" s="203" t="n"/>
      <c r="J334" s="54" t="n">
        <v>1</v>
      </c>
      <c r="K334" s="54" t="n"/>
    </row>
    <row r="335" hidden="1" s="201">
      <c r="A335" s="192" t="inlineStr">
        <is>
          <t>Snowcap Brewing</t>
        </is>
      </c>
      <c r="B335" s="31" t="inlineStr">
        <is>
          <t>Kannistarha</t>
        </is>
      </c>
      <c r="C335" s="116" t="inlineStr">
        <is>
          <t>Fruited Gose</t>
        </is>
      </c>
      <c r="D335" s="116" t="inlineStr">
        <is>
          <t>6 / 17 / 10</t>
        </is>
      </c>
      <c r="E335" s="42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35" s="86" t="inlineStr">
        <is>
          <t>ж/б 0.45 / 20</t>
        </is>
      </c>
      <c r="G335" s="116" t="inlineStr">
        <is>
          <t>12 мес.</t>
        </is>
      </c>
      <c r="H335" s="49" t="n">
        <v>279</v>
      </c>
      <c r="I335" s="92" t="inlineStr">
        <is>
          <t>много</t>
        </is>
      </c>
      <c r="J335" s="127" t="n">
        <v>1</v>
      </c>
      <c r="K335" s="127">
        <f>PRODUCT(H335,J335)</f>
        <v/>
      </c>
    </row>
    <row r="336" hidden="1" s="201">
      <c r="A336" s="192" t="inlineStr">
        <is>
          <t>Snowcap Brewing</t>
        </is>
      </c>
      <c r="B336" s="31" t="inlineStr">
        <is>
          <t>Mecca</t>
        </is>
      </c>
      <c r="C336" s="116" t="inlineStr">
        <is>
          <t>Red Ale</t>
        </is>
      </c>
      <c r="D336" s="116" t="inlineStr">
        <is>
          <t>5,5 / 13 / 26</t>
        </is>
      </c>
      <c r="E336" s="42" t="inlineStr">
        <is>
          <t>Meččä - Red Ale, сваренный для наших карельских друзей из ресторана нордической кухни Hunter.</t>
        </is>
      </c>
      <c r="F336" s="86" t="inlineStr">
        <is>
          <t>ж/б 0.45 / 20</t>
        </is>
      </c>
      <c r="G336" s="116" t="inlineStr">
        <is>
          <t>12 мес.</t>
        </is>
      </c>
      <c r="H336" s="49" t="n">
        <v>219</v>
      </c>
      <c r="I336" s="92" t="inlineStr">
        <is>
          <t>много</t>
        </is>
      </c>
      <c r="J336" s="127" t="n">
        <v>1</v>
      </c>
      <c r="K336" s="127">
        <f>PRODUCT(H336,J336)</f>
        <v/>
      </c>
    </row>
    <row r="337" hidden="1" s="201">
      <c r="A337" s="192" t="inlineStr">
        <is>
          <t>Snowcap Brewing</t>
        </is>
      </c>
      <c r="B337" s="31" t="inlineStr">
        <is>
          <t>Muapolku</t>
        </is>
      </c>
      <c r="C337" s="18" t="inlineStr">
        <is>
          <t>New Zealand Pilsner</t>
        </is>
      </c>
      <c r="D337" s="116" t="inlineStr">
        <is>
          <t>5,5 / 11,5 / 38</t>
        </is>
      </c>
      <c r="E337" s="42" t="inlineStr">
        <is>
          <t>Muapolku(Тропа Моа) - новозеландский пилснер, охмеленный Southern Cross и Motueka Amplifire.</t>
        </is>
      </c>
      <c r="F337" s="86" t="inlineStr">
        <is>
          <t>ж/б 0.45 / 20</t>
        </is>
      </c>
      <c r="G337" s="116" t="inlineStr">
        <is>
          <t>12 мес.</t>
        </is>
      </c>
      <c r="H337" s="49" t="n">
        <v>229</v>
      </c>
      <c r="I337" s="127" t="inlineStr">
        <is>
          <t>новинка</t>
        </is>
      </c>
      <c r="J337" s="127" t="n">
        <v>1</v>
      </c>
      <c r="K337" s="127">
        <f>PRODUCT(H337,J337)</f>
        <v/>
      </c>
    </row>
    <row r="338" hidden="1" s="201">
      <c r="A338" s="192" t="inlineStr">
        <is>
          <t>Snowcap Brewing</t>
        </is>
      </c>
      <c r="B338" s="31" t="inlineStr">
        <is>
          <t>Mustat Kivet</t>
        </is>
      </c>
      <c r="C338" s="116" t="inlineStr">
        <is>
          <t>IPA</t>
        </is>
      </c>
      <c r="D338" s="116" t="inlineStr">
        <is>
          <t>7 / 17 / 65</t>
        </is>
      </c>
      <c r="E338" s="42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38" s="86" t="inlineStr">
        <is>
          <t>ж/б 0.45 / 20</t>
        </is>
      </c>
      <c r="G338" s="116" t="inlineStr">
        <is>
          <t>12 мес.</t>
        </is>
      </c>
      <c r="H338" s="49" t="n">
        <v>255</v>
      </c>
      <c r="I338" s="92" t="inlineStr">
        <is>
          <t>много</t>
        </is>
      </c>
      <c r="J338" s="127" t="n">
        <v>1</v>
      </c>
      <c r="K338" s="127">
        <f>PRODUCT(H338,J338)</f>
        <v/>
      </c>
    </row>
    <row r="339" hidden="1" s="201">
      <c r="A339" s="192" t="inlineStr">
        <is>
          <t>Snowcap Brewing</t>
        </is>
      </c>
      <c r="B339" s="31" t="inlineStr">
        <is>
          <t>Petroskoi</t>
        </is>
      </c>
      <c r="C339" s="116" t="inlineStr">
        <is>
          <t>Munich Helles</t>
        </is>
      </c>
      <c r="D339" s="116" t="inlineStr">
        <is>
          <t>5,2 / 12,5 / 20</t>
        </is>
      </c>
      <c r="E339" s="42" t="inlineStr">
        <is>
          <t xml:space="preserve">Petroskoi - классический лагер в немецком стиле. </t>
        </is>
      </c>
      <c r="F339" s="86" t="inlineStr">
        <is>
          <t>ж/б 0.45 / 20</t>
        </is>
      </c>
      <c r="G339" s="116" t="inlineStr">
        <is>
          <t>12 мес.</t>
        </is>
      </c>
      <c r="H339" s="49" t="n">
        <v>179</v>
      </c>
      <c r="I339" s="92" t="inlineStr">
        <is>
          <t>много</t>
        </is>
      </c>
      <c r="J339" s="127" t="n">
        <v>0</v>
      </c>
      <c r="K339" s="127">
        <f>PRODUCT(H339,J339)</f>
        <v/>
      </c>
    </row>
    <row r="340" hidden="1" ht="22.5" customHeight="1" s="201">
      <c r="A340" s="54" t="inlineStr">
        <is>
          <t>Stamm Brewing г. Москва</t>
        </is>
      </c>
      <c r="B340" s="202" t="n"/>
      <c r="C340" s="202" t="n"/>
      <c r="D340" s="202" t="n"/>
      <c r="E340" s="202" t="n"/>
      <c r="F340" s="202" t="n"/>
      <c r="G340" s="202" t="n"/>
      <c r="H340" s="202" t="n"/>
      <c r="I340" s="203" t="n"/>
      <c r="J340" s="54" t="n">
        <v>1</v>
      </c>
      <c r="K340" s="54" t="n"/>
    </row>
    <row r="341" hidden="1" s="201">
      <c r="A341" s="192" t="inlineStr">
        <is>
          <t>Stamm Brewing</t>
        </is>
      </c>
      <c r="B341" s="31" t="inlineStr">
        <is>
          <t>4 In 1 Super Sour</t>
        </is>
      </c>
      <c r="C341" s="116" t="inlineStr">
        <is>
          <t>Sour Ale</t>
        </is>
      </c>
      <c r="D341" s="116" t="inlineStr">
        <is>
          <t>7 / 20 / -</t>
        </is>
      </c>
      <c r="E341" s="42" t="inlineStr">
        <is>
          <t>Имперский саур эль с маракуйей, красным апельсином, абрикосом и ананасом.</t>
        </is>
      </c>
      <c r="F341" s="86" t="inlineStr">
        <is>
          <t>ж/б 0.45 / 12</t>
        </is>
      </c>
      <c r="G341" s="116" t="inlineStr">
        <is>
          <t>12 мес.</t>
        </is>
      </c>
      <c r="H341" s="49" t="n">
        <v>299</v>
      </c>
      <c r="I341" s="92" t="inlineStr">
        <is>
          <t>много</t>
        </is>
      </c>
      <c r="J341" s="127" t="n">
        <v>1</v>
      </c>
      <c r="K341" s="127">
        <f>PRODUCT(H341,J341)</f>
        <v/>
      </c>
    </row>
    <row r="342" hidden="1" s="201">
      <c r="A342" s="192" t="inlineStr">
        <is>
          <t>Stamm Brewing</t>
        </is>
      </c>
      <c r="B342" s="31" t="inlineStr">
        <is>
          <t>Alpha Hops: Citra</t>
        </is>
      </c>
      <c r="C342" s="116" t="inlineStr">
        <is>
          <t>IPA</t>
        </is>
      </c>
      <c r="D342" s="116" t="inlineStr">
        <is>
          <t>6,5 / 15,5 / -</t>
        </is>
      </c>
      <c r="E342" s="42" t="inlineStr">
        <is>
          <t>Citra Single Hop IPA.</t>
        </is>
      </c>
      <c r="F342" s="86" t="inlineStr">
        <is>
          <t>ж/б 0.45 / 12</t>
        </is>
      </c>
      <c r="G342" s="116" t="inlineStr">
        <is>
          <t>12 мес.</t>
        </is>
      </c>
      <c r="H342" s="49" t="n">
        <v>249</v>
      </c>
      <c r="I342" s="92" t="inlineStr">
        <is>
          <t>много</t>
        </is>
      </c>
      <c r="J342" s="127" t="n">
        <v>1</v>
      </c>
      <c r="K342" s="127">
        <f>PRODUCT(H342,J342)</f>
        <v/>
      </c>
    </row>
    <row r="343" hidden="1" s="201">
      <c r="A343" s="192" t="inlineStr">
        <is>
          <t>Stamm Brewing</t>
        </is>
      </c>
      <c r="B343" s="31" t="inlineStr">
        <is>
          <t>Alphorn</t>
        </is>
      </c>
      <c r="C343" s="116" t="inlineStr">
        <is>
          <t>Helles</t>
        </is>
      </c>
      <c r="D343" s="116" t="inlineStr">
        <is>
          <t>4,8 / - / -</t>
        </is>
      </c>
      <c r="E343" s="42" t="inlineStr">
        <is>
          <t>Лёгкий летний Хеллес.</t>
        </is>
      </c>
      <c r="F343" s="86" t="inlineStr">
        <is>
          <t>ж/б 0.45 / 12</t>
        </is>
      </c>
      <c r="G343" s="116" t="inlineStr">
        <is>
          <t>12 мес.</t>
        </is>
      </c>
      <c r="H343" s="52" t="n">
        <v>175</v>
      </c>
      <c r="I343" s="92" t="inlineStr">
        <is>
          <t>много</t>
        </is>
      </c>
      <c r="J343" s="127" t="n">
        <v>1</v>
      </c>
      <c r="K343" s="127">
        <f>PRODUCT(H343,J343)</f>
        <v/>
      </c>
    </row>
    <row r="344" hidden="1" s="201">
      <c r="A344" s="192" t="inlineStr">
        <is>
          <t>Stamm Brewing</t>
        </is>
      </c>
      <c r="B344" s="17" t="inlineStr">
        <is>
          <t>American Pale Ale</t>
        </is>
      </c>
      <c r="C344" s="79" t="inlineStr">
        <is>
          <t>APA</t>
        </is>
      </c>
      <c r="D344" s="79" t="inlineStr">
        <is>
          <t>4,7 / 13 / 25</t>
        </is>
      </c>
      <c r="E344" s="64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44" s="62" t="inlineStr">
        <is>
          <t>ж/б 0.45 / 12</t>
        </is>
      </c>
      <c r="G344" s="79" t="inlineStr">
        <is>
          <t>6 мес.</t>
        </is>
      </c>
      <c r="H344" s="52" t="n">
        <v>199</v>
      </c>
      <c r="I344" s="93" t="inlineStr">
        <is>
          <t>много</t>
        </is>
      </c>
      <c r="J344" s="127" t="n">
        <v>1</v>
      </c>
      <c r="K344" s="127">
        <f>PRODUCT(H344,J344)</f>
        <v/>
      </c>
    </row>
    <row r="345" hidden="1" s="201">
      <c r="A345" s="192" t="inlineStr">
        <is>
          <t>Stamm Brewing</t>
        </is>
      </c>
      <c r="B345" s="31" t="inlineStr">
        <is>
          <t>Cherrytonin</t>
        </is>
      </c>
      <c r="C345" s="79" t="inlineStr">
        <is>
          <t>Sour Ale</t>
        </is>
      </c>
      <c r="D345" s="79" t="inlineStr">
        <is>
          <t xml:space="preserve">5 / - / - </t>
        </is>
      </c>
      <c r="E345" s="64" t="inlineStr">
        <is>
          <t>Лёгкий вишнёвый сауэр эль с добавлением ароматного эстрагона.</t>
        </is>
      </c>
      <c r="F345" s="62" t="inlineStr">
        <is>
          <t>ж/б 0.45 / 12</t>
        </is>
      </c>
      <c r="G345" s="79" t="inlineStr">
        <is>
          <t>12 мес.</t>
        </is>
      </c>
      <c r="H345" s="52" t="n">
        <v>239</v>
      </c>
      <c r="I345" s="93" t="inlineStr">
        <is>
          <t>много</t>
        </is>
      </c>
      <c r="J345" s="127" t="n">
        <v>1</v>
      </c>
      <c r="K345" s="127">
        <f>PRODUCT(H345,J345)</f>
        <v/>
      </c>
    </row>
    <row r="346" hidden="1" s="201">
      <c r="A346" s="192" t="inlineStr">
        <is>
          <t>Stamm Brewing</t>
        </is>
      </c>
      <c r="B346" s="31" t="inlineStr">
        <is>
          <t>Emerald Head</t>
        </is>
      </c>
      <c r="C346" s="116" t="inlineStr">
        <is>
          <t>NE DIPA</t>
        </is>
      </c>
      <c r="D346" s="116" t="inlineStr">
        <is>
          <t>8 / 18 / -</t>
        </is>
      </c>
      <c r="E346" s="42" t="inlineStr">
        <is>
          <t>New England DIPA охмелённый Citra, Simcoe, Cascade.</t>
        </is>
      </c>
      <c r="F346" s="86" t="inlineStr">
        <is>
          <t>ж/б 0.45 / 12</t>
        </is>
      </c>
      <c r="G346" s="116" t="inlineStr">
        <is>
          <t>12 мес.</t>
        </is>
      </c>
      <c r="H346" s="49" t="n">
        <v>305</v>
      </c>
      <c r="I346" s="93" t="inlineStr">
        <is>
          <t>много</t>
        </is>
      </c>
      <c r="J346" s="127" t="n">
        <v>1</v>
      </c>
      <c r="K346" s="127">
        <f>PRODUCT(H346,J346)</f>
        <v/>
      </c>
    </row>
    <row r="347" hidden="1" s="201">
      <c r="A347" s="192" t="inlineStr">
        <is>
          <t>Stamm Brewing</t>
        </is>
      </c>
      <c r="B347" s="31" t="inlineStr">
        <is>
          <t>Goko</t>
        </is>
      </c>
      <c r="C347" s="116" t="inlineStr">
        <is>
          <t>Hoppy Rice Lager</t>
        </is>
      </c>
      <c r="D347" s="116" t="inlineStr">
        <is>
          <t>5 / 12 / -</t>
        </is>
      </c>
      <c r="E347" s="42" t="inlineStr">
        <is>
          <t>Рисовый лагер, охмелённый Motueka и Nectaron, созданный совместно с нашими друзьями из Владивостока - Kultura Project.</t>
        </is>
      </c>
      <c r="F347" s="86" t="inlineStr">
        <is>
          <t>ж/б 0.45 / 12</t>
        </is>
      </c>
      <c r="G347" s="116" t="inlineStr">
        <is>
          <t>12 мес.</t>
        </is>
      </c>
      <c r="H347" s="49" t="n">
        <v>189</v>
      </c>
      <c r="I347" s="76" t="n">
        <v>1</v>
      </c>
      <c r="J347" s="127" t="n">
        <v>1</v>
      </c>
      <c r="K347" s="127">
        <f>PRODUCT(H347,J347)</f>
        <v/>
      </c>
    </row>
    <row r="348" hidden="1" s="201">
      <c r="A348" s="192" t="n"/>
      <c r="B348" s="31" t="inlineStr">
        <is>
          <t>Hop Gun</t>
        </is>
      </c>
      <c r="C348" s="116" t="inlineStr">
        <is>
          <t>IPA</t>
        </is>
      </c>
      <c r="D348" s="116" t="inlineStr">
        <is>
          <t>7 / 17 / 70</t>
        </is>
      </c>
      <c r="E348" s="42" t="inlineStr">
        <is>
          <t>Классический American IPA, охмелённый Citra и Mosaic.</t>
        </is>
      </c>
      <c r="F348" s="86" t="inlineStr">
        <is>
          <t>ж/б 0.45 / 12</t>
        </is>
      </c>
      <c r="G348" s="116" t="inlineStr">
        <is>
          <t>12 мес.</t>
        </is>
      </c>
      <c r="H348" s="49" t="n">
        <v>249</v>
      </c>
      <c r="I348" s="92" t="inlineStr">
        <is>
          <t>много</t>
        </is>
      </c>
      <c r="J348" s="127" t="n">
        <v>1</v>
      </c>
      <c r="K348" s="127">
        <f>PRODUCT(H348,J348)</f>
        <v/>
      </c>
    </row>
    <row r="349" hidden="1" s="201">
      <c r="A349" s="192" t="inlineStr">
        <is>
          <t>Stamm Brewing</t>
        </is>
      </c>
      <c r="B349" s="31" t="inlineStr">
        <is>
          <t>Hop Gun Battle Royale</t>
        </is>
      </c>
      <c r="C349" s="116" t="inlineStr">
        <is>
          <t>WC IPA</t>
        </is>
      </c>
      <c r="D349" s="116" t="inlineStr">
        <is>
          <t>7 / 17 / -</t>
        </is>
      </c>
      <c r="E349" s="42" t="inlineStr">
        <is>
          <t>West Coast IPA, охмелённый Citra/Mosaic/Chinook/Centennial.</t>
        </is>
      </c>
      <c r="F349" s="86" t="inlineStr">
        <is>
          <t>ж/б 0.45 / 12</t>
        </is>
      </c>
      <c r="G349" s="116" t="inlineStr">
        <is>
          <t>12 мес.</t>
        </is>
      </c>
      <c r="H349" s="49" t="n">
        <v>239</v>
      </c>
      <c r="I349" s="93" t="inlineStr">
        <is>
          <t>много</t>
        </is>
      </c>
      <c r="J349" s="127" t="n">
        <v>1</v>
      </c>
      <c r="K349" s="127">
        <f>PRODUCT(H349,J349)</f>
        <v/>
      </c>
    </row>
    <row r="350" hidden="1" s="201">
      <c r="A350" s="192" t="inlineStr">
        <is>
          <t>Stamm Brewing</t>
        </is>
      </c>
      <c r="B350" s="31" t="inlineStr">
        <is>
          <t>Kells</t>
        </is>
      </c>
      <c r="C350" s="79" t="inlineStr">
        <is>
          <t>Red Ale</t>
        </is>
      </c>
      <c r="D350" s="79" t="inlineStr">
        <is>
          <t xml:space="preserve">5,5 / - / - </t>
        </is>
      </c>
      <c r="E350" s="64" t="inlineStr">
        <is>
          <t>Red Ale.</t>
        </is>
      </c>
      <c r="F350" s="62" t="inlineStr">
        <is>
          <t>ж/б 0.45 / 12</t>
        </is>
      </c>
      <c r="G350" s="79" t="inlineStr">
        <is>
          <t>12 мес.</t>
        </is>
      </c>
      <c r="H350" s="52" t="n">
        <v>175</v>
      </c>
      <c r="I350" s="93" t="inlineStr">
        <is>
          <t>много</t>
        </is>
      </c>
      <c r="J350" s="127" t="n">
        <v>1</v>
      </c>
      <c r="K350" s="127">
        <f>PRODUCT(H350,J350)</f>
        <v/>
      </c>
    </row>
    <row r="351" hidden="1" s="201">
      <c r="A351" s="192" t="inlineStr">
        <is>
          <t>Stamm Brewing</t>
        </is>
      </c>
      <c r="B351" s="31" t="inlineStr">
        <is>
          <t>Limit Break</t>
        </is>
      </c>
      <c r="C351" s="116" t="inlineStr">
        <is>
          <t>Triple NE IPA</t>
        </is>
      </c>
      <c r="D351" s="116" t="inlineStr">
        <is>
          <t>9,5 / 22 / -</t>
        </is>
      </c>
      <c r="E351" s="42" t="inlineStr">
        <is>
          <t>NE Triple IPA, охмелённый Citra, Mosaic и Simcoe.</t>
        </is>
      </c>
      <c r="F351" s="86" t="inlineStr">
        <is>
          <t>ж/б 0.45 / 12</t>
        </is>
      </c>
      <c r="G351" s="116" t="inlineStr">
        <is>
          <t>12 мес.</t>
        </is>
      </c>
      <c r="H351" s="49" t="n">
        <v>319</v>
      </c>
      <c r="I351" s="127" t="inlineStr">
        <is>
          <t>новинка</t>
        </is>
      </c>
      <c r="J351" s="127" t="n">
        <v>1</v>
      </c>
      <c r="K351" s="127">
        <f>PRODUCT(H351,J351)</f>
        <v/>
      </c>
    </row>
    <row r="352" hidden="1" s="201">
      <c r="A352" s="192" t="inlineStr">
        <is>
          <t>Stamm Brewing</t>
        </is>
      </c>
      <c r="B352" s="31" t="inlineStr">
        <is>
          <t>Lone Sword</t>
        </is>
      </c>
      <c r="C352" s="116" t="inlineStr">
        <is>
          <t>AIPA</t>
        </is>
      </c>
      <c r="D352" s="116" t="inlineStr">
        <is>
          <t>6,5 / 15,5 / -</t>
        </is>
      </c>
      <c r="E352" s="42" t="inlineStr">
        <is>
          <t>American IPA, охмелённый Simcoe, Talus, Ekuanot.</t>
        </is>
      </c>
      <c r="F352" s="86" t="inlineStr">
        <is>
          <t>ж/б 0.45 / 12</t>
        </is>
      </c>
      <c r="G352" s="116" t="inlineStr">
        <is>
          <t>12 мес.</t>
        </is>
      </c>
      <c r="H352" s="49" t="n">
        <v>259</v>
      </c>
      <c r="I352" s="127" t="inlineStr">
        <is>
          <t>новинка</t>
        </is>
      </c>
      <c r="J352" s="127" t="n">
        <v>1</v>
      </c>
      <c r="K352" s="127">
        <f>PRODUCT(H352,J352)</f>
        <v/>
      </c>
    </row>
    <row r="353" hidden="1" s="201">
      <c r="A353" s="192" t="inlineStr">
        <is>
          <t>Stamm Brewing</t>
        </is>
      </c>
      <c r="B353" s="31" t="inlineStr">
        <is>
          <t>Nekoyama</t>
        </is>
      </c>
      <c r="C353" s="116" t="inlineStr">
        <is>
          <t>Rice Lager</t>
        </is>
      </c>
      <c r="D353" s="116" t="inlineStr">
        <is>
          <t>6 / 13,5 / -</t>
        </is>
      </c>
      <c r="E353" s="42" t="inlineStr">
        <is>
          <t>Рисовый лагер охмелённый Strata и Superdelic.</t>
        </is>
      </c>
      <c r="F353" s="86" t="inlineStr">
        <is>
          <t>ж/б 0.45 / 12</t>
        </is>
      </c>
      <c r="G353" s="116" t="inlineStr">
        <is>
          <t>12 мес.</t>
        </is>
      </c>
      <c r="H353" s="49" t="n">
        <v>189</v>
      </c>
      <c r="I353" s="93" t="inlineStr">
        <is>
          <t>много</t>
        </is>
      </c>
      <c r="J353" s="127" t="n">
        <v>1</v>
      </c>
      <c r="K353" s="127">
        <f>PRODUCT(H353,J353)</f>
        <v/>
      </c>
    </row>
    <row r="354" hidden="1" s="201">
      <c r="A354" s="192" t="inlineStr">
        <is>
          <t>Stamm Brewing</t>
        </is>
      </c>
      <c r="B354" s="31" t="inlineStr">
        <is>
          <t>Skybloom</t>
        </is>
      </c>
      <c r="C354" s="79" t="inlineStr">
        <is>
          <t>NE DIPA</t>
        </is>
      </c>
      <c r="D354" s="79" t="inlineStr">
        <is>
          <t>8 / - / -</t>
        </is>
      </c>
      <c r="E354" s="64" t="inlineStr">
        <is>
          <t>Hazy DIPA охмелённый Riwaka, Motueka, Motueka CRYO, Citra, Citra CRYO.</t>
        </is>
      </c>
      <c r="F354" s="62" t="inlineStr">
        <is>
          <t>ж/б 0.45 / 12</t>
        </is>
      </c>
      <c r="G354" s="79" t="inlineStr">
        <is>
          <t>12 мес.</t>
        </is>
      </c>
      <c r="H354" s="52" t="n">
        <v>289</v>
      </c>
      <c r="I354" s="93" t="inlineStr">
        <is>
          <t>много</t>
        </is>
      </c>
      <c r="J354" s="127" t="n">
        <v>1</v>
      </c>
      <c r="K354" s="127">
        <f>PRODUCT(H354,J354)</f>
        <v/>
      </c>
    </row>
    <row r="355" hidden="1" s="201">
      <c r="A355" s="192" t="inlineStr">
        <is>
          <t>Stamm Brewing</t>
        </is>
      </c>
      <c r="B355" s="31" t="inlineStr">
        <is>
          <t>Off the Pond</t>
        </is>
      </c>
      <c r="C355" s="116" t="inlineStr">
        <is>
          <t>NE IPA</t>
        </is>
      </c>
      <c r="D355" s="116" t="inlineStr">
        <is>
          <t>7 / 17 / -</t>
        </is>
      </c>
      <c r="E355" s="42" t="inlineStr">
        <is>
          <t>New England IPA охмелённый HBC 638, Talus, Citra.</t>
        </is>
      </c>
      <c r="F355" s="62" t="inlineStr">
        <is>
          <t>ж/б 0.45 / 12</t>
        </is>
      </c>
      <c r="G355" s="79" t="inlineStr">
        <is>
          <t>12 мес.</t>
        </is>
      </c>
      <c r="H355" s="49" t="n">
        <v>275</v>
      </c>
      <c r="I355" s="93" t="inlineStr">
        <is>
          <t>много</t>
        </is>
      </c>
      <c r="J355" s="127" t="n">
        <v>1</v>
      </c>
      <c r="K355" s="127">
        <f>PRODUCT(H355,J355)</f>
        <v/>
      </c>
    </row>
    <row r="356" hidden="1" s="201">
      <c r="A356" s="192" t="inlineStr">
        <is>
          <t>Stamm Brewing</t>
        </is>
      </c>
      <c r="B356" s="31" t="inlineStr">
        <is>
          <t>Rauchzart</t>
        </is>
      </c>
      <c r="C356" s="116" t="inlineStr">
        <is>
          <t>Rauchbier</t>
        </is>
      </c>
      <c r="D356" s="116" t="inlineStr">
        <is>
          <t>5,3 / 13 / -</t>
        </is>
      </c>
      <c r="E356" s="42" t="inlineStr">
        <is>
          <t>Наше прочтение раухбира, копчёного лагера.</t>
        </is>
      </c>
      <c r="F356" s="86" t="inlineStr">
        <is>
          <t>ж/б 0.45 / 12</t>
        </is>
      </c>
      <c r="G356" s="116" t="inlineStr">
        <is>
          <t>12 мес.</t>
        </is>
      </c>
      <c r="H356" s="49" t="n">
        <v>199</v>
      </c>
      <c r="I356" s="127" t="inlineStr">
        <is>
          <t>новинка</t>
        </is>
      </c>
      <c r="J356" s="127" t="n">
        <v>1</v>
      </c>
      <c r="K356" s="127">
        <f>PRODUCT(H356,J356)</f>
        <v/>
      </c>
    </row>
    <row r="357" hidden="1" s="201">
      <c r="A357" s="192" t="inlineStr">
        <is>
          <t>Stamm Brewing</t>
        </is>
      </c>
      <c r="B357" s="31" t="inlineStr">
        <is>
          <t>Solunate</t>
        </is>
      </c>
      <c r="C357" s="79" t="inlineStr">
        <is>
          <t>NE IPA</t>
        </is>
      </c>
      <c r="D357" s="79" t="inlineStr">
        <is>
          <t xml:space="preserve">6,5 / - / - </t>
        </is>
      </c>
      <c r="E357" s="64" t="inlineStr">
        <is>
          <t>Hazy IPA охмелённый Galaxy, Mosaic CRYO, Mosaic, Simcoe.</t>
        </is>
      </c>
      <c r="F357" s="62" t="inlineStr">
        <is>
          <t>ж/б 0.45 / 12</t>
        </is>
      </c>
      <c r="G357" s="79" t="inlineStr">
        <is>
          <t>12 мес.</t>
        </is>
      </c>
      <c r="H357" s="52" t="n">
        <v>269</v>
      </c>
      <c r="I357" s="93" t="inlineStr">
        <is>
          <t>много</t>
        </is>
      </c>
      <c r="J357" s="127" t="n">
        <v>1</v>
      </c>
      <c r="K357" s="127">
        <f>PRODUCT(H357,J357)</f>
        <v/>
      </c>
    </row>
    <row r="358" hidden="1" s="201">
      <c r="A358" s="192" t="inlineStr">
        <is>
          <t>Stamm Brewing</t>
        </is>
      </c>
      <c r="B358" s="31" t="inlineStr">
        <is>
          <t>Sommer</t>
        </is>
      </c>
      <c r="C358" s="116" t="inlineStr">
        <is>
          <t>Session IPA</t>
        </is>
      </c>
      <c r="D358" s="116" t="inlineStr">
        <is>
          <t>5,5 / 14,5 / -</t>
        </is>
      </c>
      <c r="E358" s="42" t="inlineStr">
        <is>
          <t>Session IPA охмелённый Citra, X-14, Cashmere.</t>
        </is>
      </c>
      <c r="F358" s="86" t="inlineStr">
        <is>
          <t>ж/б 0.45 / 12</t>
        </is>
      </c>
      <c r="G358" s="116" t="inlineStr">
        <is>
          <t>12 мес.</t>
        </is>
      </c>
      <c r="H358" s="49" t="n">
        <v>249</v>
      </c>
      <c r="I358" s="48" t="n">
        <v>1</v>
      </c>
      <c r="J358" s="127" t="n">
        <v>1</v>
      </c>
      <c r="K358" s="127">
        <f>PRODUCT(H358,J358)</f>
        <v/>
      </c>
    </row>
    <row r="359" hidden="1" s="201">
      <c r="A359" s="192" t="inlineStr">
        <is>
          <t>Stamm Brewing</t>
        </is>
      </c>
      <c r="B359" s="31" t="inlineStr">
        <is>
          <t>Sour Passion Party</t>
        </is>
      </c>
      <c r="C359" s="116" t="inlineStr">
        <is>
          <t>Sour Ale</t>
        </is>
      </c>
      <c r="D359" s="116" t="inlineStr">
        <is>
          <t>5 / - / -</t>
        </is>
      </c>
      <c r="E359" s="42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59" s="86" t="inlineStr">
        <is>
          <t>ж/б 0.45 / 12</t>
        </is>
      </c>
      <c r="G359" s="116" t="inlineStr">
        <is>
          <t>12 мес.</t>
        </is>
      </c>
      <c r="H359" s="49" t="n">
        <v>265</v>
      </c>
      <c r="I359" s="93" t="inlineStr">
        <is>
          <t>много</t>
        </is>
      </c>
      <c r="J359" s="127" t="n">
        <v>1</v>
      </c>
      <c r="K359" s="127">
        <f>PRODUCT(H359,J359)</f>
        <v/>
      </c>
    </row>
    <row r="360" hidden="1" s="201">
      <c r="A360" s="192" t="inlineStr">
        <is>
          <t>Stamm Brewing</t>
        </is>
      </c>
      <c r="B360" s="17" t="inlineStr">
        <is>
          <t>Straßenbahn</t>
        </is>
      </c>
      <c r="C360" s="79" t="inlineStr">
        <is>
          <t>Hefeweizen</t>
        </is>
      </c>
      <c r="D360" s="79" t="inlineStr">
        <is>
          <t xml:space="preserve">4,5 / 12 / - </t>
        </is>
      </c>
      <c r="E360" s="64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0" s="62" t="inlineStr">
        <is>
          <t>ж/б 0.45 / 12</t>
        </is>
      </c>
      <c r="G360" s="79" t="inlineStr">
        <is>
          <t>6 мес.</t>
        </is>
      </c>
      <c r="H360" s="52" t="n">
        <v>185</v>
      </c>
      <c r="I360" s="92" t="inlineStr">
        <is>
          <t>много</t>
        </is>
      </c>
      <c r="J360" s="127" t="n">
        <v>1</v>
      </c>
      <c r="K360" s="127">
        <f>PRODUCT(H360,J360)</f>
        <v/>
      </c>
    </row>
    <row r="361" hidden="1" s="201">
      <c r="A361" s="192" t="inlineStr">
        <is>
          <t>Stamm Brewing</t>
        </is>
      </c>
      <c r="B361" s="17" t="inlineStr">
        <is>
          <t>Straßenbahn Dunkelweizen</t>
        </is>
      </c>
      <c r="C361" s="116" t="inlineStr">
        <is>
          <t>Dunkelweizen</t>
        </is>
      </c>
      <c r="D361" s="116" t="inlineStr">
        <is>
          <t>5,5 / - / -</t>
        </is>
      </c>
      <c r="E361" s="42" t="inlineStr">
        <is>
          <t>Тёмная версия всем знакомого пшеничного StraBenbahn.</t>
        </is>
      </c>
      <c r="F361" s="86" t="inlineStr">
        <is>
          <t>ж/б 0.45 / 12</t>
        </is>
      </c>
      <c r="G361" s="116" t="inlineStr">
        <is>
          <t>12 мес.</t>
        </is>
      </c>
      <c r="H361" s="49" t="n">
        <v>185</v>
      </c>
      <c r="I361" s="92" t="inlineStr">
        <is>
          <t>много</t>
        </is>
      </c>
      <c r="J361" s="127" t="n">
        <v>1</v>
      </c>
      <c r="K361" s="127">
        <f>PRODUCT(H361,J361)</f>
        <v/>
      </c>
    </row>
    <row r="362" hidden="1" s="201">
      <c r="A362" s="192" t="inlineStr">
        <is>
          <t>Stamm Brewing</t>
        </is>
      </c>
      <c r="B362" s="31" t="inlineStr">
        <is>
          <t>Waka</t>
        </is>
      </c>
      <c r="C362" s="116" t="inlineStr">
        <is>
          <t>NZ Pilsner</t>
        </is>
      </c>
      <c r="D362" s="116" t="inlineStr">
        <is>
          <t>5,5 / 13 / -</t>
        </is>
      </c>
      <c r="E362" s="42" t="inlineStr">
        <is>
          <t>New Zealand Pilsner охмелённый Motueka, Nelson Sauvin, Superdelic.</t>
        </is>
      </c>
      <c r="F362" s="86" t="inlineStr">
        <is>
          <t>ж/б 0.45 / 12</t>
        </is>
      </c>
      <c r="G362" s="116" t="inlineStr">
        <is>
          <t>12 мес.</t>
        </is>
      </c>
      <c r="H362" s="49" t="n">
        <v>189</v>
      </c>
      <c r="I362" s="92" t="inlineStr">
        <is>
          <t>много</t>
        </is>
      </c>
      <c r="J362" s="127" t="n">
        <v>1</v>
      </c>
      <c r="K362" s="127">
        <f>PRODUCT(H362,J362)</f>
        <v/>
      </c>
    </row>
    <row r="363" hidden="1" s="201">
      <c r="A363" s="192" t="inlineStr">
        <is>
          <t>Stamm Brewing</t>
        </is>
      </c>
      <c r="B363" s="31" t="inlineStr">
        <is>
          <t>Your Freak Lordship</t>
        </is>
      </c>
      <c r="C363" s="116" t="inlineStr">
        <is>
          <t>Lager</t>
        </is>
      </c>
      <c r="D363" s="116" t="inlineStr">
        <is>
          <t>4,7 / 12 / -</t>
        </is>
      </c>
      <c r="E363" s="42" t="inlineStr">
        <is>
          <t>Тиолизированная и охмеленная версия флагманского лагера.</t>
        </is>
      </c>
      <c r="F363" s="86" t="inlineStr">
        <is>
          <t>ж/б 0.45 / 12</t>
        </is>
      </c>
      <c r="G363" s="116" t="inlineStr">
        <is>
          <t>12 мес.</t>
        </is>
      </c>
      <c r="H363" s="49" t="n">
        <v>185</v>
      </c>
      <c r="I363" s="92" t="inlineStr">
        <is>
          <t>много</t>
        </is>
      </c>
      <c r="J363" s="127" t="n">
        <v>1</v>
      </c>
      <c r="K363" s="127">
        <f>PRODUCT(H363,J363)</f>
        <v/>
      </c>
    </row>
    <row r="364" hidden="1" s="201">
      <c r="A364" s="192" t="inlineStr">
        <is>
          <t>Stamm Brewing</t>
        </is>
      </c>
      <c r="B364" s="31" t="inlineStr">
        <is>
          <t>Your Young Lordship</t>
        </is>
      </c>
      <c r="C364" s="116" t="inlineStr">
        <is>
          <t>Pilsner</t>
        </is>
      </c>
      <c r="D364" s="116" t="inlineStr">
        <is>
          <t>4,7 / 12 / -</t>
        </is>
      </c>
      <c r="E364" s="42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4" s="86" t="inlineStr">
        <is>
          <t>ж/б 0.45 / 12</t>
        </is>
      </c>
      <c r="G364" s="116" t="inlineStr">
        <is>
          <t>12 мес.</t>
        </is>
      </c>
      <c r="H364" s="49" t="n">
        <v>185</v>
      </c>
      <c r="I364" s="92" t="inlineStr">
        <is>
          <t>много</t>
        </is>
      </c>
      <c r="J364" s="127" t="n">
        <v>0</v>
      </c>
      <c r="K364" s="127">
        <f>PRODUCT(H364,J364)</f>
        <v/>
      </c>
    </row>
    <row r="365" hidden="1" ht="20.25" customHeight="1" s="201">
      <c r="A365" s="54" t="inlineStr">
        <is>
          <t>Steppe &amp; Wind Meadery г. Оренбург</t>
        </is>
      </c>
      <c r="B365" s="202" t="n"/>
      <c r="C365" s="202" t="n"/>
      <c r="D365" s="202" t="n"/>
      <c r="E365" s="202" t="n"/>
      <c r="F365" s="202" t="n"/>
      <c r="G365" s="202" t="n"/>
      <c r="H365" s="202" t="n"/>
      <c r="I365" s="203" t="n"/>
      <c r="J365" s="54" t="n">
        <v>1</v>
      </c>
      <c r="K365" s="54" t="n"/>
    </row>
    <row r="366" hidden="1" s="201">
      <c r="A366" s="196" t="inlineStr">
        <is>
          <t>Steppe &amp; Wind</t>
        </is>
      </c>
      <c r="B366" s="128" t="inlineStr">
        <is>
          <t>Безопасный Грейпфрут</t>
        </is>
      </c>
      <c r="C366" s="112" t="inlineStr">
        <is>
          <t>Mead</t>
        </is>
      </c>
      <c r="D366" s="112" t="inlineStr">
        <is>
          <t>6 / - / -</t>
        </is>
      </c>
      <c r="E366" s="129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6" s="86" t="inlineStr">
        <is>
          <t>ж/б 0.45 / 20</t>
        </is>
      </c>
      <c r="G366" s="112" t="inlineStr">
        <is>
          <t>12 мес.</t>
        </is>
      </c>
      <c r="H366" s="131" t="n">
        <v>275</v>
      </c>
      <c r="I366" s="92" t="inlineStr">
        <is>
          <t>много</t>
        </is>
      </c>
      <c r="J366" s="127" t="n">
        <v>1</v>
      </c>
      <c r="K366" s="127">
        <f>PRODUCT(H366,J366)</f>
        <v/>
      </c>
    </row>
    <row r="367" hidden="1" ht="22.5" customHeight="1" s="201">
      <c r="A367" s="196" t="inlineStr">
        <is>
          <t>Steppe &amp; Wind</t>
        </is>
      </c>
      <c r="B367" s="128" t="inlineStr">
        <is>
          <t>Apricot Mead</t>
        </is>
      </c>
      <c r="C367" s="112" t="inlineStr">
        <is>
          <t>Mead</t>
        </is>
      </c>
      <c r="D367" s="112" t="inlineStr">
        <is>
          <t>6 / - / -</t>
        </is>
      </c>
      <c r="E367" s="129" t="inlineStr">
        <is>
          <t>Мёд и сочный абрикос: сладко, с освежающим послевкусием.</t>
        </is>
      </c>
      <c r="F367" s="86" t="inlineStr">
        <is>
          <t>ж/б 0.45 / 20</t>
        </is>
      </c>
      <c r="G367" s="112" t="inlineStr">
        <is>
          <t>12 мес.</t>
        </is>
      </c>
      <c r="H367" s="131" t="n">
        <v>235</v>
      </c>
      <c r="I367" s="92" t="inlineStr">
        <is>
          <t>много</t>
        </is>
      </c>
      <c r="J367" s="127" t="n">
        <v>1</v>
      </c>
      <c r="K367" s="127">
        <f>PRODUCT(H367,J367)</f>
        <v/>
      </c>
    </row>
    <row r="368" hidden="1" s="201">
      <c r="A368" s="196" t="inlineStr">
        <is>
          <t>Steppe &amp; Wind</t>
        </is>
      </c>
      <c r="B368" s="128" t="inlineStr">
        <is>
          <t>Black Currant Mead</t>
        </is>
      </c>
      <c r="C368" s="112" t="inlineStr">
        <is>
          <t>Mead</t>
        </is>
      </c>
      <c r="D368" s="112" t="inlineStr">
        <is>
          <t>6 / - / -</t>
        </is>
      </c>
      <c r="E368" s="129" t="inlineStr">
        <is>
          <t>Луговой мёд с соком чёрной смородины, более сладкий, чем ежевика или вишня.</t>
        </is>
      </c>
      <c r="F368" s="86" t="inlineStr">
        <is>
          <t>ж/б 0.45 / 20</t>
        </is>
      </c>
      <c r="G368" s="112" t="inlineStr">
        <is>
          <t>12 мес.</t>
        </is>
      </c>
      <c r="H368" s="131" t="n">
        <v>229</v>
      </c>
      <c r="I368" s="92" t="inlineStr">
        <is>
          <t>много</t>
        </is>
      </c>
      <c r="J368" s="127" t="n">
        <v>1</v>
      </c>
      <c r="K368" s="127">
        <f>PRODUCT(H368,J368)</f>
        <v/>
      </c>
    </row>
    <row r="369" hidden="1" s="201">
      <c r="A369" s="196" t="inlineStr">
        <is>
          <t>Steppe &amp; Wind</t>
        </is>
      </c>
      <c r="B369" s="128" t="inlineStr">
        <is>
          <t>Blackberry Mead</t>
        </is>
      </c>
      <c r="C369" s="112" t="inlineStr">
        <is>
          <t>Mead</t>
        </is>
      </c>
      <c r="D369" s="112" t="inlineStr">
        <is>
          <t>6 / - / -</t>
        </is>
      </c>
      <c r="E369" s="129" t="inlineStr">
        <is>
          <t>Луговой мёд с ежевичным соком. Яркий терпкий вкус ежевики, кисло-сладкий сорт с сухим финишем.</t>
        </is>
      </c>
      <c r="F369" s="86" t="inlineStr">
        <is>
          <t>ж/б 0.45 / 20</t>
        </is>
      </c>
      <c r="G369" s="112" t="inlineStr">
        <is>
          <t>12 мес.</t>
        </is>
      </c>
      <c r="H369" s="131" t="n">
        <v>239</v>
      </c>
      <c r="I369" s="92" t="inlineStr">
        <is>
          <t>много</t>
        </is>
      </c>
      <c r="J369" s="127" t="n">
        <v>1</v>
      </c>
      <c r="K369" s="127">
        <f>PRODUCT(H369,J369)</f>
        <v/>
      </c>
    </row>
    <row r="370" hidden="1" ht="22.5" customHeight="1" s="201">
      <c r="A370" s="196" t="inlineStr">
        <is>
          <t>Steppe &amp; Wind</t>
        </is>
      </c>
      <c r="B370" s="128" t="inlineStr">
        <is>
          <t>Blueberry And Hops Mead</t>
        </is>
      </c>
      <c r="C370" s="112" t="inlineStr">
        <is>
          <t>Mead</t>
        </is>
      </c>
      <c r="D370" s="112" t="inlineStr">
        <is>
          <t>6 / - / -</t>
        </is>
      </c>
      <c r="E370" s="129" t="inlineStr">
        <is>
          <t>Насыщенный черничный мид с горечью хмеля.</t>
        </is>
      </c>
      <c r="F370" s="86" t="inlineStr">
        <is>
          <t>ж/б 0.45 / 20</t>
        </is>
      </c>
      <c r="G370" s="112" t="inlineStr">
        <is>
          <t>12 мес.</t>
        </is>
      </c>
      <c r="H370" s="131" t="n">
        <v>259</v>
      </c>
      <c r="I370" s="92" t="inlineStr">
        <is>
          <t>много</t>
        </is>
      </c>
      <c r="J370" s="127" t="n">
        <v>1</v>
      </c>
      <c r="K370" s="127">
        <f>PRODUCT(H370,J370)</f>
        <v/>
      </c>
    </row>
    <row r="371" hidden="1" s="201">
      <c r="A371" s="196" t="inlineStr">
        <is>
          <t>Steppe &amp; Wind</t>
        </is>
      </c>
      <c r="B371" s="128" t="inlineStr">
        <is>
          <t>Blueberry and Vanilla Mead</t>
        </is>
      </c>
      <c r="C371" s="112" t="inlineStr">
        <is>
          <t>Mead</t>
        </is>
      </c>
      <c r="D371" s="112" t="inlineStr">
        <is>
          <t>6 / - / -</t>
        </is>
      </c>
      <c r="E371" s="129" t="inlineStr">
        <is>
          <t>Мёд, черничной сок и ваниль. В меру сладко и терпко, с приятным ароматом ванили.</t>
        </is>
      </c>
      <c r="F371" s="86" t="inlineStr">
        <is>
          <t>ж/б 0.45 / 20</t>
        </is>
      </c>
      <c r="G371" s="112" t="inlineStr">
        <is>
          <t>12 мес.</t>
        </is>
      </c>
      <c r="H371" s="131" t="n">
        <v>255</v>
      </c>
      <c r="I371" s="92" t="inlineStr">
        <is>
          <t>много</t>
        </is>
      </c>
      <c r="J371" s="127" t="n">
        <v>1</v>
      </c>
      <c r="K371" s="127">
        <f>PRODUCT(H371,J371)</f>
        <v/>
      </c>
    </row>
    <row r="372" hidden="1" s="201">
      <c r="A372" s="196" t="inlineStr">
        <is>
          <t>Steppe &amp; Wind</t>
        </is>
      </c>
      <c r="B372" s="128" t="inlineStr">
        <is>
          <t>Calamansi Bochet</t>
        </is>
      </c>
      <c r="C372" s="112" t="inlineStr">
        <is>
          <t>Bochet</t>
        </is>
      </c>
      <c r="D372" s="112" t="inlineStr">
        <is>
          <t>6 / - / -</t>
        </is>
      </c>
      <c r="E372" s="129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2" s="86" t="inlineStr">
        <is>
          <t>бут 0.33 / 20</t>
        </is>
      </c>
      <c r="G372" s="112" t="inlineStr">
        <is>
          <t>12 мес.</t>
        </is>
      </c>
      <c r="H372" s="131" t="n">
        <v>249</v>
      </c>
      <c r="I372" s="92" t="inlineStr">
        <is>
          <t>много</t>
        </is>
      </c>
      <c r="J372" s="127" t="n">
        <v>1</v>
      </c>
      <c r="K372" s="127">
        <f>PRODUCT(H372,J372)</f>
        <v/>
      </c>
    </row>
    <row r="373" hidden="1" s="201">
      <c r="A373" s="196" t="inlineStr">
        <is>
          <t>Steppe &amp; Wind</t>
        </is>
      </c>
      <c r="B373" s="128" t="inlineStr">
        <is>
          <t>Cherry Mead</t>
        </is>
      </c>
      <c r="C373" s="112" t="inlineStr">
        <is>
          <t>Mead</t>
        </is>
      </c>
      <c r="D373" s="112" t="inlineStr">
        <is>
          <t>6 / - / -</t>
        </is>
      </c>
      <c r="E373" s="129" t="inlineStr">
        <is>
          <t>Луговой мёд с вишнёвым соком. Болеекислый сорт, чем ежевика. Во вкусе ароматная насыщенная вишня.</t>
        </is>
      </c>
      <c r="F373" s="86" t="inlineStr">
        <is>
          <t>ж/б 0.45 / 20</t>
        </is>
      </c>
      <c r="G373" s="112" t="inlineStr">
        <is>
          <t>12 мес.</t>
        </is>
      </c>
      <c r="H373" s="131" t="n">
        <v>235</v>
      </c>
      <c r="I373" s="92" t="inlineStr">
        <is>
          <t>много</t>
        </is>
      </c>
      <c r="J373" s="127" t="n">
        <v>1</v>
      </c>
      <c r="K373" s="127">
        <f>PRODUCT(H373,J373)</f>
        <v/>
      </c>
    </row>
    <row r="374" hidden="1" s="201">
      <c r="A374" s="196" t="inlineStr">
        <is>
          <t>Steppe &amp; Wind</t>
        </is>
      </c>
      <c r="B374" s="128" t="inlineStr">
        <is>
          <t>Cherry Nuts Mead</t>
        </is>
      </c>
      <c r="C374" s="112" t="inlineStr">
        <is>
          <t>Mead</t>
        </is>
      </c>
      <c r="D374" s="112" t="inlineStr">
        <is>
          <t>6 / - / -</t>
        </is>
      </c>
      <c r="E374" s="129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4" s="86" t="inlineStr">
        <is>
          <t>ж/б 0.45 / 20</t>
        </is>
      </c>
      <c r="G374" s="112" t="inlineStr">
        <is>
          <t>12 мес.</t>
        </is>
      </c>
      <c r="H374" s="131" t="n">
        <v>269</v>
      </c>
      <c r="I374" s="92" t="inlineStr">
        <is>
          <t>много</t>
        </is>
      </c>
      <c r="J374" s="127" t="n">
        <v>1</v>
      </c>
      <c r="K374" s="127">
        <f>PRODUCT(H374,J374)</f>
        <v/>
      </c>
    </row>
    <row r="375" hidden="1" s="201">
      <c r="A375" s="196" t="inlineStr">
        <is>
          <t>Steppe &amp; Wind</t>
        </is>
      </c>
      <c r="B375" s="128" t="inlineStr">
        <is>
          <t>Dogwood Lemongrass Mead</t>
        </is>
      </c>
      <c r="C375" s="112" t="inlineStr">
        <is>
          <t>Mead</t>
        </is>
      </c>
      <c r="D375" s="112" t="inlineStr">
        <is>
          <t>6 / - / -</t>
        </is>
      </c>
      <c r="E375" s="129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5" s="86" t="inlineStr">
        <is>
          <t>ж/б 0.45 / 20</t>
        </is>
      </c>
      <c r="G375" s="112" t="inlineStr">
        <is>
          <t>12 мес.</t>
        </is>
      </c>
      <c r="H375" s="131" t="n">
        <v>259</v>
      </c>
      <c r="I375" s="92" t="inlineStr">
        <is>
          <t>много</t>
        </is>
      </c>
      <c r="J375" s="127" t="n">
        <v>1</v>
      </c>
      <c r="K375" s="127">
        <f>PRODUCT(H375,J375)</f>
        <v/>
      </c>
    </row>
    <row r="376" hidden="1" s="201">
      <c r="A376" s="196" t="inlineStr">
        <is>
          <t>Steppe &amp; Wind</t>
        </is>
      </c>
      <c r="B376" s="128" t="inlineStr">
        <is>
          <t>Draft Mead</t>
        </is>
      </c>
      <c r="C376" s="112" t="inlineStr">
        <is>
          <t>Mead</t>
        </is>
      </c>
      <c r="D376" s="112" t="inlineStr">
        <is>
          <t>6 / - / 10</t>
        </is>
      </c>
      <c r="E376" s="129" t="inlineStr">
        <is>
          <t>Мид со вкусом мёда. Мёд разнотравье на купаже и горстка хмеля на варке.</t>
        </is>
      </c>
      <c r="F376" s="86" t="inlineStr">
        <is>
          <t>ж/б 0.45 / 20</t>
        </is>
      </c>
      <c r="G376" s="112" t="inlineStr">
        <is>
          <t>12 мес.</t>
        </is>
      </c>
      <c r="H376" s="131" t="n">
        <v>219</v>
      </c>
      <c r="I376" s="92" t="inlineStr">
        <is>
          <t>много</t>
        </is>
      </c>
      <c r="J376" s="127" t="n">
        <v>1</v>
      </c>
      <c r="K376" s="127">
        <f>PRODUCT(H376,J376)</f>
        <v/>
      </c>
    </row>
    <row r="377" hidden="1" s="201">
      <c r="A377" s="196" t="inlineStr">
        <is>
          <t>Steppe &amp; Wind</t>
        </is>
      </c>
      <c r="B377" s="128" t="inlineStr">
        <is>
          <t>Grapefruit Mead</t>
        </is>
      </c>
      <c r="C377" s="112" t="inlineStr">
        <is>
          <t>Mead</t>
        </is>
      </c>
      <c r="D377" s="112" t="inlineStr">
        <is>
          <t>6 / - / -</t>
        </is>
      </c>
      <c r="E377" s="129" t="inlineStr">
        <is>
          <t>Никаких винных эфиров, сложных вкусов и дубовых танинов. Липовый мёд и горы грейпфрута.</t>
        </is>
      </c>
      <c r="F377" s="86" t="inlineStr">
        <is>
          <t>ж/б 0.45 / 20</t>
        </is>
      </c>
      <c r="G377" s="112" t="inlineStr">
        <is>
          <t>12 мес.</t>
        </is>
      </c>
      <c r="H377" s="131" t="n">
        <v>255</v>
      </c>
      <c r="I377" s="92" t="inlineStr">
        <is>
          <t>много</t>
        </is>
      </c>
      <c r="J377" s="127" t="n">
        <v>1</v>
      </c>
      <c r="K377" s="127">
        <f>PRODUCT(H377,J377)</f>
        <v/>
      </c>
    </row>
    <row r="378" hidden="1" s="201">
      <c r="A378" s="196" t="inlineStr">
        <is>
          <t>Steppe &amp; Wind</t>
        </is>
      </c>
      <c r="B378" s="128" t="inlineStr">
        <is>
          <t>Juniper &amp; Basil Tonic Mead</t>
        </is>
      </c>
      <c r="C378" s="112" t="inlineStr">
        <is>
          <t>Mead</t>
        </is>
      </c>
      <c r="D378" s="112" t="inlineStr">
        <is>
          <t>4,5 / - / -</t>
        </is>
      </c>
      <c r="E378" s="129" t="inlineStr">
        <is>
          <t>Освежающий микс коры хинного дерева, ягод можжевельника, листьев базилика и мёда. В меру горько и свежо.</t>
        </is>
      </c>
      <c r="F378" s="86" t="inlineStr">
        <is>
          <t>ж/б 0.45 / 20</t>
        </is>
      </c>
      <c r="G378" s="112" t="inlineStr">
        <is>
          <t>12 мес.</t>
        </is>
      </c>
      <c r="H378" s="131" t="n">
        <v>135</v>
      </c>
      <c r="I378" s="92" t="inlineStr">
        <is>
          <t>много</t>
        </is>
      </c>
      <c r="J378" s="127" t="n">
        <v>1</v>
      </c>
      <c r="K378" s="127">
        <f>PRODUCT(H378,J378)</f>
        <v/>
      </c>
    </row>
    <row r="379" hidden="1" s="201">
      <c r="A379" s="196" t="inlineStr">
        <is>
          <t>Steppe &amp; Wind</t>
        </is>
      </c>
      <c r="B379" s="132" t="inlineStr">
        <is>
          <t xml:space="preserve">Lingonberry Rhubarb and Hops Mead </t>
        </is>
      </c>
      <c r="C379" s="112" t="inlineStr">
        <is>
          <t>Mead</t>
        </is>
      </c>
      <c r="D379" s="112" t="inlineStr">
        <is>
          <t>6 / - / -</t>
        </is>
      </c>
      <c r="E379" s="129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79" s="86" t="inlineStr">
        <is>
          <t>ж/б 0.45 / 20</t>
        </is>
      </c>
      <c r="G379" s="112" t="inlineStr">
        <is>
          <t>12 мес.</t>
        </is>
      </c>
      <c r="H379" s="131" t="n">
        <v>275</v>
      </c>
      <c r="I379" s="92" t="inlineStr">
        <is>
          <t>много</t>
        </is>
      </c>
      <c r="J379" s="127" t="n">
        <v>1</v>
      </c>
      <c r="K379" s="127">
        <f>PRODUCT(H379,J379)</f>
        <v/>
      </c>
    </row>
    <row r="380" hidden="1" s="201">
      <c r="A380" s="196" t="inlineStr">
        <is>
          <t>Steppe &amp; Wind</t>
        </is>
      </c>
      <c r="B380" s="128" t="inlineStr">
        <is>
          <t>Melon and Lemongrass Mead</t>
        </is>
      </c>
      <c r="C380" s="112" t="inlineStr">
        <is>
          <t>Mead</t>
        </is>
      </c>
      <c r="D380" s="112" t="inlineStr">
        <is>
          <t>6 / - / -</t>
        </is>
      </c>
      <c r="E380" s="129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0" s="86" t="inlineStr">
        <is>
          <t>ж/б 0.45 / 20</t>
        </is>
      </c>
      <c r="G380" s="112" t="inlineStr">
        <is>
          <t>12 мес.</t>
        </is>
      </c>
      <c r="H380" s="131" t="n">
        <v>259</v>
      </c>
      <c r="I380" s="92" t="inlineStr">
        <is>
          <t>много</t>
        </is>
      </c>
      <c r="J380" s="127" t="n">
        <v>1</v>
      </c>
      <c r="K380" s="127">
        <f>PRODUCT(H380,J380)</f>
        <v/>
      </c>
    </row>
    <row r="381" hidden="1" s="201">
      <c r="A381" s="196" t="inlineStr">
        <is>
          <t>Steppe &amp; Wind</t>
        </is>
      </c>
      <c r="B381" s="128" t="inlineStr">
        <is>
          <t>Orange And Vanilla Mead</t>
        </is>
      </c>
      <c r="C381" s="112" t="inlineStr">
        <is>
          <t>Mead</t>
        </is>
      </c>
      <c r="D381" s="112" t="inlineStr">
        <is>
          <t>6 / - / -</t>
        </is>
      </c>
      <c r="E381" s="129" t="inlineStr">
        <is>
          <t>Вкус яркий, цитрусовый, с его хрустящей кислинкой и мягкой, пряной и тёплой ванилью, уходящей в карамель.</t>
        </is>
      </c>
      <c r="F381" s="86" t="inlineStr">
        <is>
          <t>ж/б 0.45 / 20</t>
        </is>
      </c>
      <c r="G381" s="112" t="inlineStr">
        <is>
          <t>12 мес.</t>
        </is>
      </c>
      <c r="H381" s="131" t="n">
        <v>259</v>
      </c>
      <c r="I381" s="92" t="inlineStr">
        <is>
          <t>много</t>
        </is>
      </c>
      <c r="J381" s="127" t="n">
        <v>1</v>
      </c>
      <c r="K381" s="127">
        <f>PRODUCT(H381,J381)</f>
        <v/>
      </c>
    </row>
    <row r="382" hidden="1" s="201">
      <c r="A382" s="196" t="inlineStr">
        <is>
          <t>Steppe &amp; Wind</t>
        </is>
      </c>
      <c r="B382" s="128" t="inlineStr">
        <is>
          <t>Peach Orange Punch Mead</t>
        </is>
      </c>
      <c r="C382" s="112" t="inlineStr">
        <is>
          <t>Mead</t>
        </is>
      </c>
      <c r="D382" s="112" t="inlineStr">
        <is>
          <t>8 / - / -</t>
        </is>
      </c>
      <c r="E382" s="129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2" s="86" t="inlineStr">
        <is>
          <t>ж/б 0.45 / 20</t>
        </is>
      </c>
      <c r="G382" s="112" t="inlineStr">
        <is>
          <t>12 мес.</t>
        </is>
      </c>
      <c r="H382" s="131" t="n">
        <v>295</v>
      </c>
      <c r="I382" s="76" t="n">
        <v>4</v>
      </c>
      <c r="J382" s="127" t="n">
        <v>1</v>
      </c>
      <c r="K382" s="127">
        <f>PRODUCT(H382,J382)</f>
        <v/>
      </c>
    </row>
    <row r="383" hidden="1" s="201">
      <c r="A383" s="196" t="inlineStr">
        <is>
          <t>Steppe &amp; Wind</t>
        </is>
      </c>
      <c r="B383" s="17" t="inlineStr">
        <is>
          <t>Pear, Lime &amp; Rosemary Mead</t>
        </is>
      </c>
      <c r="C383" s="112" t="inlineStr">
        <is>
          <t>Mead</t>
        </is>
      </c>
      <c r="D383" s="112" t="inlineStr">
        <is>
          <t>6 / - / -</t>
        </is>
      </c>
      <c r="E383" s="42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3" s="86" t="inlineStr">
        <is>
          <t>ж/б 0.45 / 20</t>
        </is>
      </c>
      <c r="G383" s="112" t="inlineStr">
        <is>
          <t>12 мес.</t>
        </is>
      </c>
      <c r="H383" s="49" t="n">
        <v>259</v>
      </c>
      <c r="I383" s="92" t="inlineStr">
        <is>
          <t>много</t>
        </is>
      </c>
      <c r="J383" s="127" t="n">
        <v>1</v>
      </c>
      <c r="K383" s="127">
        <f>PRODUCT(H383,J383)</f>
        <v/>
      </c>
    </row>
    <row r="384" hidden="1" s="201">
      <c r="A384" s="196" t="inlineStr">
        <is>
          <t>Steppe &amp; Wind</t>
        </is>
      </c>
      <c r="B384" s="128" t="inlineStr">
        <is>
          <t>Pineapple Lime Mead</t>
        </is>
      </c>
      <c r="C384" s="112" t="inlineStr">
        <is>
          <t>Mead</t>
        </is>
      </c>
      <c r="D384" s="112" t="inlineStr">
        <is>
          <t>4,5 / - / -</t>
        </is>
      </c>
      <c r="E384" s="129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4" s="86" t="inlineStr">
        <is>
          <t>ж/б 0.45 / 20</t>
        </is>
      </c>
      <c r="G384" s="112" t="inlineStr">
        <is>
          <t>12 мес.</t>
        </is>
      </c>
      <c r="H384" s="131" t="n">
        <v>275</v>
      </c>
      <c r="I384" s="92" t="inlineStr">
        <is>
          <t>много</t>
        </is>
      </c>
      <c r="J384" s="127" t="n">
        <v>1</v>
      </c>
      <c r="K384" s="127">
        <f>PRODUCT(H384,J384)</f>
        <v/>
      </c>
    </row>
    <row r="385" hidden="1" s="201">
      <c r="A385" s="196" t="inlineStr">
        <is>
          <t>Steppe &amp; Wind</t>
        </is>
      </c>
      <c r="B385" s="132" t="inlineStr">
        <is>
          <t>Pyment Mead</t>
        </is>
      </c>
      <c r="C385" s="112" t="inlineStr">
        <is>
          <t>Mead</t>
        </is>
      </c>
      <c r="D385" s="112" t="inlineStr">
        <is>
          <t>6 / - / -</t>
        </is>
      </c>
      <c r="E385" s="129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5" s="86" t="inlineStr">
        <is>
          <t>ж/б 0.45 / 20</t>
        </is>
      </c>
      <c r="G385" s="112" t="inlineStr">
        <is>
          <t>12 мес.</t>
        </is>
      </c>
      <c r="H385" s="131" t="n">
        <v>235</v>
      </c>
      <c r="I385" s="92" t="inlineStr">
        <is>
          <t>много</t>
        </is>
      </c>
      <c r="J385" s="127" t="n">
        <v>1</v>
      </c>
      <c r="K385" s="127">
        <f>PRODUCT(H385,J385)</f>
        <v/>
      </c>
    </row>
    <row r="386" hidden="1" s="201">
      <c r="A386" s="196" t="inlineStr">
        <is>
          <t>Steppe &amp; Wind</t>
        </is>
      </c>
      <c r="B386" s="17" t="inlineStr">
        <is>
          <t>Raspberry &amp; Blueberry Bochet</t>
        </is>
      </c>
      <c r="C386" s="112" t="inlineStr">
        <is>
          <t>Mead</t>
        </is>
      </c>
      <c r="D386" s="112" t="inlineStr">
        <is>
          <t>6 / - / -</t>
        </is>
      </c>
      <c r="E386" s="42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6" s="86" t="inlineStr">
        <is>
          <t>ж/б 0.45 / 20</t>
        </is>
      </c>
      <c r="G386" s="112" t="inlineStr">
        <is>
          <t>12 мес.</t>
        </is>
      </c>
      <c r="H386" s="49" t="n">
        <v>265</v>
      </c>
      <c r="I386" s="92" t="inlineStr">
        <is>
          <t>много</t>
        </is>
      </c>
      <c r="J386" s="127" t="n">
        <v>1</v>
      </c>
      <c r="K386" s="127">
        <f>PRODUCT(H386,J386)</f>
        <v/>
      </c>
    </row>
    <row r="387" hidden="1" s="201">
      <c r="A387" s="196" t="inlineStr">
        <is>
          <t>Steppe &amp; Wind</t>
        </is>
      </c>
      <c r="B387" s="128" t="inlineStr">
        <is>
          <t>Raspberry, Mint And Hops Mead</t>
        </is>
      </c>
      <c r="C387" s="112" t="inlineStr">
        <is>
          <t>Mead</t>
        </is>
      </c>
      <c r="D387" s="112" t="inlineStr">
        <is>
          <t>6 / - / -</t>
        </is>
      </c>
      <c r="E387" s="129" t="inlineStr">
        <is>
          <t>Малиновый сок, сухое охмеление, выдержка на дубовой щепе с мятой.</t>
        </is>
      </c>
      <c r="F387" s="86" t="inlineStr">
        <is>
          <t>ж/б 0.45 / 20</t>
        </is>
      </c>
      <c r="G387" s="112" t="inlineStr">
        <is>
          <t>12 мес.</t>
        </is>
      </c>
      <c r="H387" s="131" t="n">
        <v>259</v>
      </c>
      <c r="I387" s="92" t="inlineStr">
        <is>
          <t>много</t>
        </is>
      </c>
      <c r="J387" s="127" t="n">
        <v>1</v>
      </c>
      <c r="K387" s="127">
        <f>PRODUCT(H387,J387)</f>
        <v/>
      </c>
    </row>
    <row r="388" hidden="1" s="201">
      <c r="A388" s="196" t="inlineStr">
        <is>
          <t>Steppe &amp; Wind</t>
        </is>
      </c>
      <c r="B388" s="133" t="inlineStr">
        <is>
          <t>Smoothie Imperial Mead: Blackberry Feijoa Lemongrass</t>
        </is>
      </c>
      <c r="C388" s="112" t="inlineStr">
        <is>
          <t>Mead</t>
        </is>
      </c>
      <c r="D388" s="112" t="inlineStr">
        <is>
          <t>8 / - / -</t>
        </is>
      </c>
      <c r="E388" s="129" t="inlineStr">
        <is>
          <t>Империал смузи мид: ежевика, фейхоа, лемонграсс.</t>
        </is>
      </c>
      <c r="F388" s="86" t="inlineStr">
        <is>
          <t>ж/б 0.33 / 12</t>
        </is>
      </c>
      <c r="G388" s="112" t="inlineStr">
        <is>
          <t>12 мес.</t>
        </is>
      </c>
      <c r="H388" s="131" t="n">
        <v>299</v>
      </c>
      <c r="I388" s="76" t="n">
        <v>3</v>
      </c>
      <c r="J388" s="127" t="n">
        <v>1</v>
      </c>
      <c r="K388" s="127">
        <f>PRODUCT(H388,J388)</f>
        <v/>
      </c>
    </row>
    <row r="389" hidden="1" s="201">
      <c r="A389" s="196" t="inlineStr">
        <is>
          <t>Steppe &amp; Wind</t>
        </is>
      </c>
      <c r="B389" s="128" t="inlineStr">
        <is>
          <t>Smoothie Mead: Blueberry, Banana, Vanilla</t>
        </is>
      </c>
      <c r="C389" s="112" t="inlineStr">
        <is>
          <t>Mead</t>
        </is>
      </c>
      <c r="D389" s="112" t="inlineStr">
        <is>
          <t>6 / - / -</t>
        </is>
      </c>
      <c r="E389" s="129" t="inlineStr">
        <is>
          <t>Смузи мёд с бананом, черникой и ванилью. Напоминает известный десерт - черничный чизкейк.</t>
        </is>
      </c>
      <c r="F389" s="86" t="inlineStr">
        <is>
          <t>ж/б 0.45 / 20</t>
        </is>
      </c>
      <c r="G389" s="112" t="inlineStr">
        <is>
          <t>12 мес.</t>
        </is>
      </c>
      <c r="H389" s="131" t="n">
        <v>295</v>
      </c>
      <c r="I389" s="92" t="inlineStr">
        <is>
          <t>много</t>
        </is>
      </c>
      <c r="J389" s="127" t="n">
        <v>1</v>
      </c>
      <c r="K389" s="127">
        <f>PRODUCT(H389,J389)</f>
        <v/>
      </c>
    </row>
    <row r="390" hidden="1" s="201">
      <c r="A390" s="196" t="inlineStr">
        <is>
          <t>Steppe &amp; Wind</t>
        </is>
      </c>
      <c r="B390" s="128" t="inlineStr">
        <is>
          <t>Smoothie Mead: Grapefruit, Strawberry, Mint</t>
        </is>
      </c>
      <c r="C390" s="112" t="inlineStr">
        <is>
          <t>Mead</t>
        </is>
      </c>
      <c r="D390" s="112" t="inlineStr">
        <is>
          <t>6 / - / -</t>
        </is>
      </c>
      <c r="E390" s="129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0" s="86" t="inlineStr">
        <is>
          <t>ж/б 0.45 / 20</t>
        </is>
      </c>
      <c r="G390" s="112" t="inlineStr">
        <is>
          <t>12 мес.</t>
        </is>
      </c>
      <c r="H390" s="131" t="n">
        <v>295</v>
      </c>
      <c r="I390" s="92" t="inlineStr">
        <is>
          <t>много</t>
        </is>
      </c>
      <c r="J390" s="127" t="n">
        <v>1</v>
      </c>
      <c r="K390" s="127">
        <f>PRODUCT(H390,J390)</f>
        <v/>
      </c>
    </row>
    <row r="391" hidden="1" s="201">
      <c r="A391" s="196" t="inlineStr">
        <is>
          <t>Steppe &amp; Wind</t>
        </is>
      </c>
      <c r="B391" s="128" t="inlineStr">
        <is>
          <t>Smoothie Mead: Mango, Orange</t>
        </is>
      </c>
      <c r="C391" s="112" t="inlineStr">
        <is>
          <t>Mead</t>
        </is>
      </c>
      <c r="D391" s="112" t="inlineStr">
        <is>
          <t>6 / - / -</t>
        </is>
      </c>
      <c r="E391" s="129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1" s="86" t="inlineStr">
        <is>
          <t>ж/б 0.45 / 20</t>
        </is>
      </c>
      <c r="G391" s="112" t="inlineStr">
        <is>
          <t>12 мес.</t>
        </is>
      </c>
      <c r="H391" s="131" t="n">
        <v>295</v>
      </c>
      <c r="I391" s="92" t="inlineStr">
        <is>
          <t>много</t>
        </is>
      </c>
      <c r="J391" s="127" t="n">
        <v>1</v>
      </c>
      <c r="K391" s="127">
        <f>PRODUCT(H391,J391)</f>
        <v/>
      </c>
    </row>
    <row r="392" hidden="1" s="201">
      <c r="A392" s="196" t="inlineStr">
        <is>
          <t>Steppe &amp; Wind</t>
        </is>
      </c>
      <c r="B392" s="31" t="inlineStr">
        <is>
          <t>Smoothie Mead: Strawberry, Banana, Cranberry</t>
        </is>
      </c>
      <c r="C392" s="112" t="inlineStr">
        <is>
          <t>Mead</t>
        </is>
      </c>
      <c r="D392" s="112" t="inlineStr">
        <is>
          <t>6 / - / -</t>
        </is>
      </c>
      <c r="E392" s="42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2" s="86" t="inlineStr">
        <is>
          <t>ж/б 0.45 / 20</t>
        </is>
      </c>
      <c r="G392" s="112" t="inlineStr">
        <is>
          <t>12 мес.</t>
        </is>
      </c>
      <c r="H392" s="49" t="n">
        <v>295</v>
      </c>
      <c r="I392" s="92" t="inlineStr">
        <is>
          <t>много</t>
        </is>
      </c>
      <c r="J392" s="127" t="n">
        <v>1</v>
      </c>
      <c r="K392" s="127">
        <f>PRODUCT(H392,J392)</f>
        <v/>
      </c>
    </row>
    <row r="393" hidden="1" s="201">
      <c r="A393" s="196" t="inlineStr">
        <is>
          <t>Steppe &amp; Wind</t>
        </is>
      </c>
      <c r="B393" s="128" t="inlineStr">
        <is>
          <t>Strawberry Lavender &amp; Hops Mead</t>
        </is>
      </c>
      <c r="C393" s="112" t="inlineStr">
        <is>
          <t>Mead</t>
        </is>
      </c>
      <c r="D393" s="112" t="inlineStr">
        <is>
          <t>6 / - / -</t>
        </is>
      </c>
      <c r="E393" s="129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3" s="86" t="inlineStr">
        <is>
          <t>ж/б 0.45 / 20</t>
        </is>
      </c>
      <c r="G393" s="112" t="inlineStr">
        <is>
          <t>12 мес.</t>
        </is>
      </c>
      <c r="H393" s="131" t="n">
        <v>259</v>
      </c>
      <c r="I393" s="92" t="inlineStr">
        <is>
          <t>много</t>
        </is>
      </c>
      <c r="J393" s="127" t="n">
        <v>1</v>
      </c>
      <c r="K393" s="127">
        <f>PRODUCT(H393,J393)</f>
        <v/>
      </c>
    </row>
    <row r="394" hidden="1" s="201">
      <c r="A394" s="196" t="inlineStr">
        <is>
          <t>Steppe &amp; Wind</t>
        </is>
      </c>
      <c r="B394" s="128" t="inlineStr">
        <is>
          <t>Traditional Mead</t>
        </is>
      </c>
      <c r="C394" s="112" t="inlineStr">
        <is>
          <t>Mead</t>
        </is>
      </c>
      <c r="D394" s="112" t="inlineStr">
        <is>
          <t>4,5 / - / -</t>
        </is>
      </c>
      <c r="E394" s="129" t="inlineStr">
        <is>
          <t>Базовый мид из цветочного мёда сброженный с дубовой щепой. Медовуха, как она есть.</t>
        </is>
      </c>
      <c r="F394" s="86" t="inlineStr">
        <is>
          <t>ж/б 0.45 / 20</t>
        </is>
      </c>
      <c r="G394" s="112" t="inlineStr">
        <is>
          <t>12 мес.</t>
        </is>
      </c>
      <c r="H394" s="131" t="n">
        <v>175</v>
      </c>
      <c r="I394" s="92" t="inlineStr">
        <is>
          <t>много</t>
        </is>
      </c>
      <c r="J394" s="127" t="n">
        <v>0</v>
      </c>
      <c r="K394" s="127">
        <f>PRODUCT(H394,J394)</f>
        <v/>
      </c>
    </row>
    <row r="395" hidden="1" ht="22.5" customHeight="1" s="201">
      <c r="A395" s="90" t="inlineStr">
        <is>
          <t>Switch Brewing г. Санкт-Петербург</t>
        </is>
      </c>
      <c r="B395" s="202" t="n"/>
      <c r="C395" s="202" t="n"/>
      <c r="D395" s="202" t="n"/>
      <c r="E395" s="202" t="n"/>
      <c r="F395" s="202" t="n"/>
      <c r="G395" s="202" t="n"/>
      <c r="H395" s="202" t="n"/>
      <c r="I395" s="203" t="n"/>
      <c r="J395" s="90" t="n">
        <v>1</v>
      </c>
      <c r="K395" s="90" t="n"/>
    </row>
    <row r="396" hidden="1" ht="35.25" customHeight="1" s="201">
      <c r="A396" s="192" t="inlineStr">
        <is>
          <t>Switch Brewing</t>
        </is>
      </c>
      <c r="B396" s="17" t="inlineStr">
        <is>
          <t>Academic Pizzicato</t>
        </is>
      </c>
      <c r="C396" s="112" t="inlineStr">
        <is>
          <t>Lager</t>
        </is>
      </c>
      <c r="D396" s="112" t="inlineStr">
        <is>
          <t>5 / 12 / 30</t>
        </is>
      </c>
      <c r="E396" s="60" t="inlineStr">
        <is>
          <t>Американский лагер приуроченный к 10му, юбилейному, фестивалю Sib Craft Fest, сваренный совместно с Gusi Brewery. Dry Hop - Citra.</t>
        </is>
      </c>
      <c r="F396" s="86" t="inlineStr">
        <is>
          <t>ж/б 0.5 / 20</t>
        </is>
      </c>
      <c r="G396" s="112" t="inlineStr">
        <is>
          <t>12 мес.</t>
        </is>
      </c>
      <c r="H396" s="49" t="n">
        <v>235</v>
      </c>
      <c r="I396" s="48" t="n">
        <v>3</v>
      </c>
      <c r="J396" s="127" t="n">
        <v>1</v>
      </c>
      <c r="K396" s="127">
        <f>PRODUCT(H396,J396)</f>
        <v/>
      </c>
    </row>
    <row r="397" hidden="1" ht="49.5" customHeight="1" s="201">
      <c r="A397" s="192" t="inlineStr">
        <is>
          <t>Switch Brewing</t>
        </is>
      </c>
      <c r="B397" s="31" t="inlineStr">
        <is>
          <t>The End of The Land</t>
        </is>
      </c>
      <c r="C397" s="63" t="inlineStr">
        <is>
          <t>IPA</t>
        </is>
      </c>
      <c r="D397" s="63" t="inlineStr">
        <is>
          <t>5 / - / 40</t>
        </is>
      </c>
      <c r="E397" s="64" t="inlineStr">
        <is>
          <t>Лёгкий, весенний, сессионный АйПиЭй сваренный совместно с баром, находящимся на краю земли - «Культура Пивная» г. Владивосток. Hops - Citra, Mosaic Cryo.</t>
        </is>
      </c>
      <c r="F397" s="62" t="inlineStr">
        <is>
          <t>ж/б 0.5 / 12</t>
        </is>
      </c>
      <c r="G397" s="63" t="inlineStr">
        <is>
          <t>12 мес.</t>
        </is>
      </c>
      <c r="H397" s="52" t="n">
        <v>245</v>
      </c>
      <c r="I397" s="48" t="n">
        <v>1</v>
      </c>
      <c r="J397" s="127" t="n">
        <v>0</v>
      </c>
      <c r="K397" s="127">
        <f>PRODUCT(H397,J397)</f>
        <v/>
      </c>
    </row>
    <row r="398" hidden="1" ht="21.75" customHeight="1" s="201">
      <c r="A398" s="54" t="inlineStr">
        <is>
          <t>Time Bomb Brewery г. Санкт-Петербург</t>
        </is>
      </c>
      <c r="B398" s="202" t="n"/>
      <c r="C398" s="202" t="n"/>
      <c r="D398" s="202" t="n"/>
      <c r="E398" s="202" t="n"/>
      <c r="F398" s="202" t="n"/>
      <c r="G398" s="202" t="n"/>
      <c r="H398" s="202" t="n"/>
      <c r="I398" s="203" t="n"/>
      <c r="J398" s="54" t="n">
        <v>1</v>
      </c>
      <c r="K398" s="54" t="n"/>
    </row>
    <row r="399" hidden="1" s="201">
      <c r="A399" s="192" t="inlineStr">
        <is>
          <t>Time Bomb</t>
        </is>
      </c>
      <c r="B399" s="17" t="inlineStr">
        <is>
          <t>КРАФТПИТ</t>
        </is>
      </c>
      <c r="C399" s="79" t="inlineStr">
        <is>
          <t>Desitka</t>
        </is>
      </c>
      <c r="D399" s="79" t="inlineStr">
        <is>
          <t>4/ 10 / -</t>
        </is>
      </c>
      <c r="E399" s="134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79" t="inlineStr">
        <is>
          <t>ж/б 0.5 / 20</t>
        </is>
      </c>
      <c r="G399" s="63" t="inlineStr">
        <is>
          <t>12 мес.</t>
        </is>
      </c>
      <c r="H399" s="52" t="n">
        <v>199</v>
      </c>
      <c r="I399" s="48" t="n">
        <v>5</v>
      </c>
      <c r="J399" s="127" t="n">
        <v>1</v>
      </c>
      <c r="K399" s="127">
        <f>PRODUCT(H399,J399)</f>
        <v/>
      </c>
    </row>
    <row r="400" hidden="1" s="201">
      <c r="A400" s="192" t="inlineStr">
        <is>
          <t>Time Bomb</t>
        </is>
      </c>
      <c r="B400" s="17" t="inlineStr">
        <is>
          <t>ПАРСЕК</t>
        </is>
      </c>
      <c r="C400" s="79" t="inlineStr">
        <is>
          <t>APA</t>
        </is>
      </c>
      <c r="D400" s="79" t="inlineStr">
        <is>
          <t>5 / - / 40</t>
        </is>
      </c>
      <c r="E400" s="134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79" t="inlineStr">
        <is>
          <t>ж/б 0.5 / 12</t>
        </is>
      </c>
      <c r="G400" s="63" t="inlineStr">
        <is>
          <t>12 мес.</t>
        </is>
      </c>
      <c r="H400" s="52" t="n">
        <v>255</v>
      </c>
      <c r="I400" s="48" t="n">
        <v>9</v>
      </c>
      <c r="J400" s="127" t="n">
        <v>1</v>
      </c>
      <c r="K400" s="127">
        <f>PRODUCT(H400,J400)</f>
        <v/>
      </c>
    </row>
    <row r="401" hidden="1" s="201">
      <c r="A401" s="192" t="inlineStr">
        <is>
          <t>Time Bomb</t>
        </is>
      </c>
      <c r="B401" s="17" t="inlineStr">
        <is>
          <t>Headshrinker</t>
        </is>
      </c>
      <c r="C401" s="79" t="inlineStr">
        <is>
          <t>ESB</t>
        </is>
      </c>
      <c r="D401" s="79" t="inlineStr">
        <is>
          <t>5,3 / - / 30</t>
        </is>
      </c>
      <c r="E401" s="134" t="inlineStr">
        <is>
          <t>Английская классика в стиле Extra Special Bitter с охмелением East Kent Golding.</t>
        </is>
      </c>
      <c r="F401" s="79" t="inlineStr">
        <is>
          <t>ж/б 0.5 / 20</t>
        </is>
      </c>
      <c r="G401" s="63" t="inlineStr">
        <is>
          <t>12 мес.</t>
        </is>
      </c>
      <c r="H401" s="52" t="n">
        <v>215</v>
      </c>
      <c r="I401" s="93" t="inlineStr">
        <is>
          <t>много</t>
        </is>
      </c>
      <c r="J401" s="127" t="n">
        <v>0</v>
      </c>
      <c r="K401" s="127">
        <f>PRODUCT(H401,J401)</f>
        <v/>
      </c>
    </row>
    <row r="402" hidden="1" ht="22.5" customHeight="1" s="201">
      <c r="A402" s="54" t="inlineStr">
        <is>
          <t>Toksovo Sidrerie г. Санкт-Петербург</t>
        </is>
      </c>
      <c r="B402" s="202" t="n"/>
      <c r="C402" s="202" t="n"/>
      <c r="D402" s="202" t="n"/>
      <c r="E402" s="202" t="n"/>
      <c r="F402" s="202" t="n"/>
      <c r="G402" s="202" t="n"/>
      <c r="H402" s="202" t="n"/>
      <c r="I402" s="203" t="n"/>
      <c r="J402" s="54" t="n">
        <v>1</v>
      </c>
      <c r="K402" s="54" t="n"/>
    </row>
    <row r="403" hidden="1" s="201">
      <c r="A403" s="192" t="inlineStr">
        <is>
          <t>Toksovo Cidrerie</t>
        </is>
      </c>
      <c r="B403" s="26" t="inlineStr">
        <is>
          <t>Любовь и Ревень</t>
        </is>
      </c>
      <c r="C403" s="75" t="inlineStr">
        <is>
          <t>Cider</t>
        </is>
      </c>
      <c r="D403" s="75" t="inlineStr">
        <is>
          <t>4,5 / - / -</t>
        </is>
      </c>
      <c r="E403" s="98" t="inlineStr">
        <is>
          <t>Фруктовый сидр новой волны из яблок Северо-Западного региона с добавлением местного ревеня.</t>
        </is>
      </c>
      <c r="F403" s="75" t="inlineStr">
        <is>
          <t>бут 0.33 / 12</t>
        </is>
      </c>
      <c r="G403" s="68" t="inlineStr">
        <is>
          <t>не ограничен</t>
        </is>
      </c>
      <c r="H403" s="57" t="n">
        <v>205</v>
      </c>
      <c r="I403" s="92" t="inlineStr">
        <is>
          <t>много</t>
        </is>
      </c>
      <c r="J403" s="127" t="n">
        <v>1</v>
      </c>
      <c r="K403" s="127">
        <f>PRODUCT(H403,J403)</f>
        <v/>
      </c>
    </row>
    <row r="404" hidden="1" s="201">
      <c r="A404" s="192" t="inlineStr">
        <is>
          <t>Toksovo Cidrerie</t>
        </is>
      </c>
      <c r="B404" s="32" t="inlineStr">
        <is>
          <t>ТИШИНА. Bag-in-Box. Vintage 2021</t>
        </is>
      </c>
      <c r="C404" s="75" t="inlineStr">
        <is>
          <t>Cider</t>
        </is>
      </c>
      <c r="D404" s="75" t="inlineStr">
        <is>
          <t>5,4 / - / -</t>
        </is>
      </c>
      <c r="E404" s="98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75" t="inlineStr">
        <is>
          <t>Bag in Box 3л</t>
        </is>
      </c>
      <c r="G404" s="68" t="inlineStr">
        <is>
          <t>не ограничен</t>
        </is>
      </c>
      <c r="H404" s="57" t="n">
        <v>1249</v>
      </c>
      <c r="I404" s="92" t="inlineStr">
        <is>
          <t>много</t>
        </is>
      </c>
      <c r="J404" s="127" t="n">
        <v>1</v>
      </c>
      <c r="K404" s="127">
        <f>PRODUCT(H404,J404)</f>
        <v/>
      </c>
    </row>
    <row r="405" hidden="1" s="201">
      <c r="A405" s="192" t="inlineStr">
        <is>
          <t>Toksovo Cidrerie</t>
        </is>
      </c>
      <c r="B405" s="32" t="inlineStr">
        <is>
          <t>Heart of Forest</t>
        </is>
      </c>
      <c r="C405" s="75" t="inlineStr">
        <is>
          <t>Cider</t>
        </is>
      </c>
      <c r="D405" s="75" t="inlineStr">
        <is>
          <t>5 / - / -</t>
        </is>
      </c>
      <c r="E405" s="98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75" t="inlineStr">
        <is>
          <t>бут 0.33 / 12</t>
        </is>
      </c>
      <c r="G405" s="68" t="inlineStr">
        <is>
          <t>не ограничен</t>
        </is>
      </c>
      <c r="H405" s="57" t="n">
        <v>195</v>
      </c>
      <c r="I405" s="92" t="inlineStr">
        <is>
          <t>много</t>
        </is>
      </c>
      <c r="J405" s="127" t="n">
        <v>1</v>
      </c>
      <c r="K405" s="127">
        <f>PRODUCT(H405,J405)</f>
        <v/>
      </c>
    </row>
    <row r="406" hidden="1" s="201">
      <c r="A406" s="192" t="inlineStr">
        <is>
          <t>Toksovo Cidrerie</t>
        </is>
      </c>
      <c r="B406" s="32" t="inlineStr">
        <is>
          <t>Heart of Gose</t>
        </is>
      </c>
      <c r="C406" s="75" t="inlineStr">
        <is>
          <t>Cider</t>
        </is>
      </c>
      <c r="D406" s="75" t="inlineStr">
        <is>
          <t>4,5 / - / -</t>
        </is>
      </c>
      <c r="E406" s="98" t="inlineStr">
        <is>
          <t>Сидр с уклоном в стилистику “гозе” с латиноамериканскими элементами - перцем халапеньо и лаймом.</t>
        </is>
      </c>
      <c r="F406" s="75" t="inlineStr">
        <is>
          <t>бут 0.33 / 12</t>
        </is>
      </c>
      <c r="G406" s="68" t="inlineStr">
        <is>
          <t>не ограничен</t>
        </is>
      </c>
      <c r="H406" s="57" t="n">
        <v>185</v>
      </c>
      <c r="I406" s="92" t="inlineStr">
        <is>
          <t>много</t>
        </is>
      </c>
      <c r="J406" s="127" t="n">
        <v>1</v>
      </c>
      <c r="K406" s="127">
        <f>PRODUCT(H406,J406)</f>
        <v/>
      </c>
    </row>
    <row r="407" hidden="1" s="201">
      <c r="A407" s="192" t="inlineStr">
        <is>
          <t>Toksovo Cidrerie</t>
        </is>
      </c>
      <c r="B407" s="32" t="inlineStr">
        <is>
          <t>Heart of Smoke</t>
        </is>
      </c>
      <c r="C407" s="75" t="inlineStr">
        <is>
          <t>Cider</t>
        </is>
      </c>
      <c r="D407" s="75" t="inlineStr">
        <is>
          <t>5,5 / - / -</t>
        </is>
      </c>
      <c r="E407" s="98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75" t="inlineStr">
        <is>
          <t>бут 0.33 / 12</t>
        </is>
      </c>
      <c r="G407" s="68" t="inlineStr">
        <is>
          <t>не ограничен</t>
        </is>
      </c>
      <c r="H407" s="57" t="n">
        <v>185</v>
      </c>
      <c r="I407" s="92" t="inlineStr">
        <is>
          <t>много</t>
        </is>
      </c>
      <c r="J407" s="127" t="n">
        <v>1</v>
      </c>
      <c r="K407" s="127">
        <f>PRODUCT(H407,J407)</f>
        <v/>
      </c>
    </row>
    <row r="408" hidden="1" s="201">
      <c r="A408" s="192" t="inlineStr">
        <is>
          <t>Toksovo Cidrerie</t>
        </is>
      </c>
      <c r="B408" s="26" t="inlineStr">
        <is>
          <t>Pet Nat 2022: Batch 22</t>
        </is>
      </c>
      <c r="C408" s="75" t="inlineStr">
        <is>
          <t>Cider</t>
        </is>
      </c>
      <c r="D408" s="75" t="inlineStr">
        <is>
          <t>5 / - / -</t>
        </is>
      </c>
      <c r="E408" s="98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75" t="inlineStr">
        <is>
          <t>бут 0.75 / 6</t>
        </is>
      </c>
      <c r="G408" s="68" t="inlineStr">
        <is>
          <t>не ограничен</t>
        </is>
      </c>
      <c r="H408" s="57" t="n">
        <v>599</v>
      </c>
      <c r="I408" s="92" t="inlineStr">
        <is>
          <t>много</t>
        </is>
      </c>
      <c r="J408" s="127" t="n">
        <v>0</v>
      </c>
      <c r="K408" s="127">
        <f>PRODUCT(H408,J408)</f>
        <v/>
      </c>
    </row>
    <row r="409" hidden="1" s="201">
      <c r="A409" s="90" t="inlineStr">
        <is>
          <t xml:space="preserve">Try Wild г. Ижевск </t>
        </is>
      </c>
      <c r="B409" s="202" t="n"/>
      <c r="C409" s="202" t="n"/>
      <c r="D409" s="202" t="n"/>
      <c r="E409" s="202" t="n"/>
      <c r="F409" s="202" t="n"/>
      <c r="G409" s="202" t="n"/>
      <c r="H409" s="202" t="n"/>
      <c r="I409" s="203" t="n"/>
      <c r="J409" s="90" t="n">
        <v>1</v>
      </c>
      <c r="K409" s="90" t="n"/>
    </row>
    <row r="410" hidden="1" s="201">
      <c r="A410" s="192" t="inlineStr">
        <is>
          <t>Try Wild</t>
        </is>
      </c>
      <c r="B410" s="17" t="inlineStr">
        <is>
          <t>Wild Cider 2019</t>
        </is>
      </c>
      <c r="C410" s="75" t="inlineStr">
        <is>
          <t>Cider</t>
        </is>
      </c>
      <c r="D410" s="79" t="inlineStr">
        <is>
          <t xml:space="preserve">5,5 / - / - </t>
        </is>
      </c>
      <c r="E410" s="134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79" t="inlineStr">
        <is>
          <t>бут 0.75 / 6</t>
        </is>
      </c>
      <c r="G410" s="79" t="inlineStr">
        <is>
          <t>5 лет</t>
        </is>
      </c>
      <c r="H410" s="52" t="n">
        <v>449</v>
      </c>
      <c r="I410" s="93" t="inlineStr">
        <is>
          <t>много</t>
        </is>
      </c>
      <c r="J410" s="127" t="n">
        <v>0</v>
      </c>
      <c r="K410" s="127">
        <f>PRODUCT(H410,J410)</f>
        <v/>
      </c>
    </row>
    <row r="411" hidden="1" ht="24.75" customHeight="1" s="201">
      <c r="A411" s="54" t="inlineStr">
        <is>
          <t>Zagovor г. Москва</t>
        </is>
      </c>
      <c r="B411" s="202" t="n"/>
      <c r="C411" s="202" t="n"/>
      <c r="D411" s="202" t="n"/>
      <c r="E411" s="202" t="n"/>
      <c r="F411" s="202" t="n"/>
      <c r="G411" s="202" t="n"/>
      <c r="H411" s="202" t="n"/>
      <c r="I411" s="203" t="n"/>
      <c r="J411" s="54" t="n">
        <v>1</v>
      </c>
      <c r="K411" s="54" t="n"/>
    </row>
    <row r="412" hidden="1" s="201">
      <c r="A412" s="192" t="inlineStr">
        <is>
          <t>Zagovor</t>
        </is>
      </c>
      <c r="B412" s="31" t="inlineStr">
        <is>
          <t>Цитра</t>
        </is>
      </c>
      <c r="C412" s="112" t="inlineStr">
        <is>
          <t>IPA</t>
        </is>
      </c>
      <c r="D412" s="112" t="inlineStr">
        <is>
          <t>6 / - / 55</t>
        </is>
      </c>
      <c r="E412" s="42" t="inlineStr">
        <is>
          <t>West Coast style Citra Single Hop IPA.</t>
        </is>
      </c>
      <c r="F412" s="86" t="inlineStr">
        <is>
          <t>ж/б 0.45 / 20</t>
        </is>
      </c>
      <c r="G412" s="112" t="inlineStr">
        <is>
          <t>12 мес.</t>
        </is>
      </c>
      <c r="H412" s="49" t="n">
        <v>269</v>
      </c>
      <c r="I412" s="92" t="inlineStr">
        <is>
          <t>много</t>
        </is>
      </c>
      <c r="J412" s="127" t="n">
        <v>1</v>
      </c>
      <c r="K412" s="127">
        <f>PRODUCT(H412,J412)</f>
        <v/>
      </c>
    </row>
    <row r="413" hidden="1" s="201">
      <c r="A413" s="192" t="inlineStr">
        <is>
          <t>Zagovor</t>
        </is>
      </c>
      <c r="B413" s="31" t="inlineStr">
        <is>
          <t>Blast Beat: DDH+Lupulin Powder</t>
        </is>
      </c>
      <c r="C413" s="112" t="inlineStr">
        <is>
          <t>NE DIPA</t>
        </is>
      </c>
      <c r="D413" s="112" t="inlineStr">
        <is>
          <t>8 / - / 30</t>
        </is>
      </c>
      <c r="E413" s="42" t="inlineStr">
        <is>
          <t>Новая, улучшенная версия нашего первого NE DIPA. На этот раз с Simcoe Cryo + Citra + Mosaic + Idaho 7 + Cascade.</t>
        </is>
      </c>
      <c r="F413" s="86" t="inlineStr">
        <is>
          <t>ж/б 0.45 / 20</t>
        </is>
      </c>
      <c r="G413" s="112" t="inlineStr">
        <is>
          <t>12 мес.</t>
        </is>
      </c>
      <c r="H413" s="49" t="n">
        <v>309</v>
      </c>
      <c r="I413" s="92" t="inlineStr">
        <is>
          <t>много</t>
        </is>
      </c>
      <c r="J413" s="127" t="n">
        <v>1</v>
      </c>
      <c r="K413" s="127">
        <f>PRODUCT(H413,J413)</f>
        <v/>
      </c>
    </row>
    <row r="414" hidden="1" s="201">
      <c r="A414" s="192" t="inlineStr">
        <is>
          <t>Zagovor</t>
        </is>
      </c>
      <c r="B414" s="31" t="inlineStr">
        <is>
          <t>Equilibrium: Ekuanot+Mosaic</t>
        </is>
      </c>
      <c r="C414" s="112" t="inlineStr">
        <is>
          <t>AIPA</t>
        </is>
      </c>
      <c r="D414" s="112" t="inlineStr">
        <is>
          <t>6,5 / - / 50</t>
        </is>
      </c>
      <c r="E414" s="42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4" s="86" t="inlineStr">
        <is>
          <t>ж/б 0.45 / 20</t>
        </is>
      </c>
      <c r="G414" s="112" t="inlineStr">
        <is>
          <t>12 мес.</t>
        </is>
      </c>
      <c r="H414" s="49" t="n">
        <v>275</v>
      </c>
      <c r="I414" s="92" t="inlineStr">
        <is>
          <t>много</t>
        </is>
      </c>
      <c r="J414" s="127" t="n">
        <v>1</v>
      </c>
      <c r="K414" s="127">
        <f>PRODUCT(H414,J414)</f>
        <v/>
      </c>
    </row>
    <row r="415" hidden="1" s="201">
      <c r="A415" s="192" t="inlineStr">
        <is>
          <t>Zagovor</t>
        </is>
      </c>
      <c r="B415" s="31" t="inlineStr">
        <is>
          <t>Hot Wax</t>
        </is>
      </c>
      <c r="C415" s="112" t="inlineStr">
        <is>
          <t>NE DIPA</t>
        </is>
      </c>
      <c r="D415" s="112" t="inlineStr">
        <is>
          <t>8 / 19 / 40</t>
        </is>
      </c>
      <c r="E415" s="42" t="inlineStr">
        <is>
          <t>DDH New England Double IPA. Охмеление - Citra и Galaxy.</t>
        </is>
      </c>
      <c r="F415" s="86" t="inlineStr">
        <is>
          <t>ж/б 0.45 / 20</t>
        </is>
      </c>
      <c r="G415" s="112" t="inlineStr">
        <is>
          <t>12 мес.</t>
        </is>
      </c>
      <c r="H415" s="49" t="n">
        <v>325</v>
      </c>
      <c r="I415" s="92" t="inlineStr">
        <is>
          <t>много</t>
        </is>
      </c>
      <c r="J415" s="127" t="n">
        <v>1</v>
      </c>
      <c r="K415" s="127">
        <f>PRODUCT(H415,J415)</f>
        <v/>
      </c>
    </row>
    <row r="416" hidden="1" s="201">
      <c r="A416" s="192" t="inlineStr">
        <is>
          <t>Zagovor</t>
        </is>
      </c>
      <c r="B416" s="31" t="inlineStr">
        <is>
          <t>Lager Lads Club</t>
        </is>
      </c>
      <c r="C416" s="41" t="inlineStr">
        <is>
          <t>Lager</t>
        </is>
      </c>
      <c r="D416" s="112" t="inlineStr">
        <is>
          <t>5,3 / 12 / 25</t>
        </is>
      </c>
      <c r="E416" s="42" t="inlineStr">
        <is>
          <t>коллаборация с баром METHOD Beer &amp; Munchies. Охмеление - Saaz.</t>
        </is>
      </c>
      <c r="F416" s="86" t="inlineStr">
        <is>
          <t>ж/б 0.45 / 20</t>
        </is>
      </c>
      <c r="G416" s="112" t="inlineStr">
        <is>
          <t>12 мес.</t>
        </is>
      </c>
      <c r="H416" s="49" t="n">
        <v>189</v>
      </c>
      <c r="I416" s="92" t="inlineStr">
        <is>
          <t>много</t>
        </is>
      </c>
      <c r="J416" s="127" t="n">
        <v>1</v>
      </c>
      <c r="K416" s="127">
        <f>PRODUCT(H416,J416)</f>
        <v/>
      </c>
    </row>
    <row r="417" hidden="1" s="201">
      <c r="A417" s="192" t="inlineStr">
        <is>
          <t>Zagovor</t>
        </is>
      </c>
      <c r="B417" s="17" t="inlineStr">
        <is>
          <t>Mezzonint</t>
        </is>
      </c>
      <c r="C417" s="63" t="inlineStr">
        <is>
          <t>NE DIPA</t>
        </is>
      </c>
      <c r="D417" s="63" t="inlineStr">
        <is>
          <t>8 / - / 40</t>
        </is>
      </c>
      <c r="E417" s="50" t="inlineStr">
        <is>
          <t>Double Dry Hopped NE DIPA with Riwaka, Nectaron, Citra Lupomax &amp; Cascade CGX. Collaboration brew for B-Day of SPIN BAR Minsk.</t>
        </is>
      </c>
      <c r="F417" s="62" t="inlineStr">
        <is>
          <t>ж/б 0.45 / 20</t>
        </is>
      </c>
      <c r="G417" s="63" t="inlineStr">
        <is>
          <t>12 мес.</t>
        </is>
      </c>
      <c r="H417" s="52" t="n">
        <v>329</v>
      </c>
      <c r="I417" s="93" t="inlineStr">
        <is>
          <t>много</t>
        </is>
      </c>
      <c r="J417" s="127" t="n">
        <v>1</v>
      </c>
      <c r="K417" s="127">
        <f>PRODUCT(H417,J417)</f>
        <v/>
      </c>
    </row>
    <row r="418" hidden="1" s="201">
      <c r="A418" s="192" t="inlineStr">
        <is>
          <t>Zagovor</t>
        </is>
      </c>
      <c r="B418" s="17" t="inlineStr">
        <is>
          <t>Multi Pass Mead</t>
        </is>
      </c>
      <c r="C418" s="63" t="inlineStr">
        <is>
          <t>Mead</t>
        </is>
      </c>
      <c r="D418" s="63" t="inlineStr">
        <is>
          <t>6 / - / -</t>
        </is>
      </c>
      <c r="E418" s="50" t="inlineStr">
        <is>
          <t>Pina Colada style Session Mead = Pineapple, Coconut, Orange &amp; Lime. Collaboration with Stepp &amp; Wind Meadery.</t>
        </is>
      </c>
      <c r="F418" s="62" t="inlineStr">
        <is>
          <t>ж/б 0.45 / 12</t>
        </is>
      </c>
      <c r="G418" s="63" t="inlineStr">
        <is>
          <t>12 мес.</t>
        </is>
      </c>
      <c r="H418" s="52" t="n">
        <v>349</v>
      </c>
      <c r="I418" s="93" t="inlineStr">
        <is>
          <t>много</t>
        </is>
      </c>
      <c r="J418" s="127" t="n">
        <v>1</v>
      </c>
      <c r="K418" s="127">
        <f>PRODUCT(H418,J418)</f>
        <v/>
      </c>
    </row>
    <row r="419" hidden="1" s="201">
      <c r="A419" s="192" t="inlineStr">
        <is>
          <t>Zagovor</t>
        </is>
      </c>
      <c r="B419" s="31" t="inlineStr">
        <is>
          <t>Planespotting Spot</t>
        </is>
      </c>
      <c r="C419" s="112" t="inlineStr">
        <is>
          <t>WC Pale Ale</t>
        </is>
      </c>
      <c r="D419" s="112" t="inlineStr">
        <is>
          <t>5,5 / - / 55</t>
        </is>
      </c>
      <c r="E419" s="42" t="inlineStr">
        <is>
          <t>Cascade Single Hop West Coast Pale Ale. Наслаждайтесь самолётами в небе!</t>
        </is>
      </c>
      <c r="F419" s="86" t="inlineStr">
        <is>
          <t>ж/б 0.45 / 20</t>
        </is>
      </c>
      <c r="G419" s="112" t="inlineStr">
        <is>
          <t>12 мес.</t>
        </is>
      </c>
      <c r="H419" s="49" t="n">
        <v>229</v>
      </c>
      <c r="I419" s="92" t="inlineStr">
        <is>
          <t>много</t>
        </is>
      </c>
      <c r="J419" s="127" t="n">
        <v>1</v>
      </c>
      <c r="K419" s="127">
        <f>PRODUCT(H419,J419)</f>
        <v/>
      </c>
    </row>
    <row r="420" hidden="1" s="201">
      <c r="A420" s="192" t="inlineStr">
        <is>
          <t>Zagovor</t>
        </is>
      </c>
      <c r="B420" s="31" t="inlineStr">
        <is>
          <t>Recovery Pils</t>
        </is>
      </c>
      <c r="C420" s="41" t="inlineStr">
        <is>
          <t>New Zealand Pilsner</t>
        </is>
      </c>
      <c r="D420" s="112" t="inlineStr">
        <is>
          <t>4,5 / 11 / 30</t>
        </is>
      </c>
      <c r="E420" s="42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20" s="86" t="inlineStr">
        <is>
          <t>ж/б 0.45 / 20</t>
        </is>
      </c>
      <c r="G420" s="112" t="inlineStr">
        <is>
          <t>12 мес.</t>
        </is>
      </c>
      <c r="H420" s="49" t="n">
        <v>185</v>
      </c>
      <c r="I420" s="76" t="n">
        <v>1</v>
      </c>
      <c r="J420" s="127" t="n">
        <v>1</v>
      </c>
      <c r="K420" s="127">
        <f>PRODUCT(H420,J420)</f>
        <v/>
      </c>
    </row>
    <row r="421" hidden="1" s="201">
      <c r="A421" s="192" t="inlineStr">
        <is>
          <t>Zagovor</t>
        </is>
      </c>
      <c r="B421" s="31" t="inlineStr">
        <is>
          <t>Replica: Talus</t>
        </is>
      </c>
      <c r="C421" s="112" t="inlineStr">
        <is>
          <t>NE IPA</t>
        </is>
      </c>
      <c r="D421" s="112" t="inlineStr">
        <is>
          <t>6,5 / - / 30</t>
        </is>
      </c>
      <c r="E421" s="42" t="inlineStr">
        <is>
          <t>DDH Single Hop New England IPA с добавлением хмеля Talus (HBC 692). Тона грейпфрута, цитрусовой цедры и лёгкие ноты кокоса</t>
        </is>
      </c>
      <c r="F421" s="86" t="inlineStr">
        <is>
          <t>ж/б 0.45 / 20</t>
        </is>
      </c>
      <c r="G421" s="112" t="inlineStr">
        <is>
          <t>12 мес.</t>
        </is>
      </c>
      <c r="H421" s="49" t="n">
        <v>275</v>
      </c>
      <c r="I421" s="76" t="n">
        <v>9</v>
      </c>
      <c r="J421" s="127" t="n">
        <v>1</v>
      </c>
      <c r="K421" s="127">
        <f>PRODUCT(H421,J421)</f>
        <v/>
      </c>
    </row>
    <row r="422" hidden="1" s="201">
      <c r="A422" s="192" t="inlineStr">
        <is>
          <t>Zagovor</t>
        </is>
      </c>
      <c r="B422" s="17" t="inlineStr">
        <is>
          <t>SLOW &amp; TRVE: DDH+Lupulin Powder</t>
        </is>
      </c>
      <c r="C422" s="63" t="inlineStr">
        <is>
          <t>NE APA</t>
        </is>
      </c>
      <c r="D422" s="63" t="inlineStr">
        <is>
          <t>4,8 / - / 35</t>
        </is>
      </c>
      <c r="E422" s="50" t="inlineStr">
        <is>
          <t>We made it real with extensive double dry hopping rehearsal &amp; daydreams about lupulin powder. Simcoe &amp; Mosaic were involved!</t>
        </is>
      </c>
      <c r="F422" s="62" t="inlineStr">
        <is>
          <t>ж/б 0.45 / 20</t>
        </is>
      </c>
      <c r="G422" s="63" t="inlineStr">
        <is>
          <t>12 мес.</t>
        </is>
      </c>
      <c r="H422" s="52" t="n">
        <v>255</v>
      </c>
      <c r="I422" s="93" t="inlineStr">
        <is>
          <t>много</t>
        </is>
      </c>
      <c r="J422" s="127" t="n">
        <v>1</v>
      </c>
      <c r="K422" s="127">
        <f>PRODUCT(H422,J422)</f>
        <v/>
      </c>
    </row>
    <row r="423" hidden="1" s="201">
      <c r="A423" s="192" t="inlineStr">
        <is>
          <t>Zagovor</t>
        </is>
      </c>
      <c r="B423" s="17" t="inlineStr">
        <is>
          <t>Spirals</t>
        </is>
      </c>
      <c r="C423" s="63" t="inlineStr">
        <is>
          <t>NE APA</t>
        </is>
      </c>
      <c r="D423" s="63" t="inlineStr">
        <is>
          <t>5,2 / - / 30</t>
        </is>
      </c>
      <c r="E423" s="50" t="inlineStr">
        <is>
          <t>Juicy &amp; Hazy Pale Ale, true tropical delight with Vista &amp; El Dorado CGX hops.</t>
        </is>
      </c>
      <c r="F423" s="62" t="inlineStr">
        <is>
          <t>ж/б 0.45 / 20</t>
        </is>
      </c>
      <c r="G423" s="63" t="inlineStr">
        <is>
          <t>12 мес.</t>
        </is>
      </c>
      <c r="H423" s="52" t="n">
        <v>245</v>
      </c>
      <c r="I423" s="93" t="inlineStr">
        <is>
          <t>много</t>
        </is>
      </c>
      <c r="J423" s="127" t="n">
        <v>1</v>
      </c>
      <c r="K423" s="127">
        <f>PRODUCT(H423,J423)</f>
        <v/>
      </c>
    </row>
    <row r="424" hidden="1" s="201">
      <c r="A424" s="192" t="inlineStr">
        <is>
          <t>Zagovor</t>
        </is>
      </c>
      <c r="B424" s="31" t="inlineStr">
        <is>
          <t>Stoner</t>
        </is>
      </c>
      <c r="C424" s="112" t="inlineStr">
        <is>
          <t>Milk Stout</t>
        </is>
      </c>
      <c r="D424" s="112" t="inlineStr">
        <is>
          <t>5,5 / - / 23</t>
        </is>
      </c>
      <c r="E424" s="42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24" s="86" t="inlineStr">
        <is>
          <t>ж/б 0.45 / 20</t>
        </is>
      </c>
      <c r="G424" s="112" t="inlineStr">
        <is>
          <t>12 мес.</t>
        </is>
      </c>
      <c r="H424" s="49" t="n">
        <v>205</v>
      </c>
      <c r="I424" s="92" t="inlineStr">
        <is>
          <t>много</t>
        </is>
      </c>
      <c r="J424" s="127" t="n">
        <v>1</v>
      </c>
      <c r="K424" s="127">
        <f>PRODUCT(H424,J424)</f>
        <v/>
      </c>
    </row>
    <row r="425" hidden="1" s="201">
      <c r="A425" s="192" t="inlineStr">
        <is>
          <t>Zagovor</t>
        </is>
      </c>
      <c r="B425" s="31" t="inlineStr">
        <is>
          <t>Street Justice Citra</t>
        </is>
      </c>
      <c r="C425" s="112" t="inlineStr">
        <is>
          <t>DIPA</t>
        </is>
      </c>
      <c r="D425" s="112" t="inlineStr">
        <is>
          <t>8 / - / 85</t>
        </is>
      </c>
      <c r="E425" s="42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5" s="86" t="inlineStr">
        <is>
          <t>ж/б 0.45 / 20</t>
        </is>
      </c>
      <c r="G425" s="112" t="inlineStr">
        <is>
          <t>12 мес.</t>
        </is>
      </c>
      <c r="H425" s="49" t="n">
        <v>285</v>
      </c>
      <c r="I425" s="92" t="inlineStr">
        <is>
          <t>много</t>
        </is>
      </c>
      <c r="J425" s="127" t="n">
        <v>1</v>
      </c>
      <c r="K425" s="127">
        <f>PRODUCT(H425,J425)</f>
        <v/>
      </c>
    </row>
    <row r="426" hidden="1" s="201">
      <c r="A426" s="192" t="inlineStr">
        <is>
          <t>Zagovor</t>
        </is>
      </c>
      <c r="B426" s="31" t="inlineStr">
        <is>
          <t>Street Justice Idaho7</t>
        </is>
      </c>
      <c r="C426" s="41" t="inlineStr">
        <is>
          <t>West Coast Double IPA</t>
        </is>
      </c>
      <c r="D426" s="112" t="inlineStr">
        <is>
          <t>8,5 / 19 / 75</t>
        </is>
      </c>
      <c r="E426" s="42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6" s="86" t="inlineStr">
        <is>
          <t>ж/б 0.45 / 20</t>
        </is>
      </c>
      <c r="G426" s="112" t="inlineStr">
        <is>
          <t>12 мес.</t>
        </is>
      </c>
      <c r="H426" s="49" t="n">
        <v>285</v>
      </c>
      <c r="I426" s="92" t="inlineStr">
        <is>
          <t>много</t>
        </is>
      </c>
      <c r="J426" s="127" t="n">
        <v>1</v>
      </c>
      <c r="K426" s="127">
        <f>PRODUCT(H426,J426)</f>
        <v/>
      </c>
    </row>
    <row r="427" hidden="1" s="201">
      <c r="A427" s="192" t="inlineStr">
        <is>
          <t>Zagovor</t>
        </is>
      </c>
      <c r="B427" s="31" t="inlineStr">
        <is>
          <t>Street Justice Mosaic</t>
        </is>
      </c>
      <c r="C427" s="112" t="inlineStr">
        <is>
          <t>DIPA</t>
        </is>
      </c>
      <c r="D427" s="112" t="inlineStr">
        <is>
          <t>8 / - / 85</t>
        </is>
      </c>
      <c r="E427" s="42" t="inlineStr">
        <is>
          <t>Mosaic Single Hop West Coast Double IPA!</t>
        </is>
      </c>
      <c r="F427" s="86" t="inlineStr">
        <is>
          <t>ж/б 0.45 / 20</t>
        </is>
      </c>
      <c r="G427" s="112" t="inlineStr">
        <is>
          <t>12 мес.</t>
        </is>
      </c>
      <c r="H427" s="49" t="n">
        <v>309</v>
      </c>
      <c r="I427" s="92" t="inlineStr">
        <is>
          <t>много</t>
        </is>
      </c>
      <c r="J427" s="127" t="n">
        <v>1</v>
      </c>
      <c r="K427" s="127">
        <f>PRODUCT(H427,J427)</f>
        <v/>
      </c>
    </row>
    <row r="428" hidden="1" s="201">
      <c r="A428" s="192" t="inlineStr">
        <is>
          <t>Zagovor</t>
        </is>
      </c>
      <c r="B428" s="17" t="inlineStr">
        <is>
          <t>Trafaret</t>
        </is>
      </c>
      <c r="C428" s="62" t="inlineStr">
        <is>
          <t>Gose</t>
        </is>
      </c>
      <c r="D428" s="62" t="inlineStr">
        <is>
          <t>7 / - / 10</t>
        </is>
      </c>
      <c r="E428" s="50" t="inlineStr">
        <is>
          <t xml:space="preserve">Raspberry Imperial Gose. </t>
        </is>
      </c>
      <c r="F428" s="62" t="inlineStr">
        <is>
          <t>ж/б 0.45 / 20</t>
        </is>
      </c>
      <c r="G428" s="62" t="inlineStr">
        <is>
          <t>12 мес.</t>
        </is>
      </c>
      <c r="H428" s="52" t="n">
        <v>249</v>
      </c>
      <c r="I428" s="92" t="inlineStr">
        <is>
          <t>много</t>
        </is>
      </c>
      <c r="J428" s="127" t="n">
        <v>1</v>
      </c>
      <c r="K428" s="127">
        <f>PRODUCT(H428,J428)</f>
        <v/>
      </c>
    </row>
    <row r="429" hidden="1" s="201">
      <c r="A429" s="192" t="inlineStr">
        <is>
          <t>Zagovor</t>
        </is>
      </c>
      <c r="B429" s="31" t="inlineStr">
        <is>
          <t>Volan</t>
        </is>
      </c>
      <c r="C429" s="41" t="inlineStr">
        <is>
          <t>WC IPA</t>
        </is>
      </c>
      <c r="D429" s="112" t="inlineStr">
        <is>
          <t>6,7 / 15 /55</t>
        </is>
      </c>
      <c r="E429" s="42" t="inlineStr">
        <is>
          <t>West Coast IPA с хмелями Idaho7 Lupomax и Strata. Коллаборация с группой Vólan.</t>
        </is>
      </c>
      <c r="F429" s="86" t="inlineStr">
        <is>
          <t>ж/б 0.45 / 20</t>
        </is>
      </c>
      <c r="G429" s="112" t="inlineStr">
        <is>
          <t>12 мес.</t>
        </is>
      </c>
      <c r="H429" s="49" t="n">
        <v>265</v>
      </c>
      <c r="I429" s="92" t="inlineStr">
        <is>
          <t>много</t>
        </is>
      </c>
      <c r="J429" s="127" t="n">
        <v>0</v>
      </c>
      <c r="K429" s="127">
        <f>PRODUCT(H429,J429)</f>
        <v/>
      </c>
    </row>
    <row r="430">
      <c r="A430" s="135" t="n"/>
      <c r="B430" s="136" t="n"/>
      <c r="C430" s="137" t="n"/>
      <c r="D430" s="138" t="n"/>
      <c r="E430" s="139" t="n"/>
      <c r="F430" s="138" t="n"/>
      <c r="G430" s="138" t="n"/>
      <c r="H430" s="140" t="n"/>
      <c r="I430" s="168" t="inlineStr">
        <is>
          <t>Итого</t>
        </is>
      </c>
      <c r="J430" s="169" t="n">
        <v>0</v>
      </c>
      <c r="K430" s="169">
        <f>SUM(K2:K429)</f>
        <v/>
      </c>
    </row>
  </sheetData>
  <autoFilter ref="$A$2:$K$430">
    <filterColumn colId="1" hiddenButton="0" showButton="1">
      <filters blank="1">
        <filter val="Weizen 0.33"/>
        <filter val="Carmilla Сherry Cider Полусладкий"/>
        <filter val="Serotonin: Guava, Banana, Raspberry, Blackberry"/>
        <filter val="Tale of Us (#2025 Batch)"/>
        <filter val="Santa Muerte"/>
        <filter val="Sour Club"/>
        <filter val="La Lucha Libre"/>
        <filter val="Neuro Juice Orange Pulp, Mango, Pineapple"/>
        <filter val="На десерт Банан, Клубника, Ваниль"/>
        <filter val="Mr. Golding"/>
        <filter val="Зависимость"/>
        <filter val="Pale Ale"/>
        <filter val="Смузикальная пауза"/>
        <filter val="Ding-Dong"/>
        <filter val="Honeypot: Черная Смородина"/>
        <filter val="Duck Stories"/>
        <filter val="Heart of Gose"/>
        <filter val="Ласка нерпы"/>
        <filter val="В Собственном Соку: Вишня"/>
        <filter val="Томатная Дичь Острая"/>
        <filter val="Cherry Mead"/>
        <filter val="Smoothie Mead: Blueberry, Banana, Vanilla"/>
        <filter val="Straßenbahn Dunkelweizen"/>
        <filter val="Spirals"/>
        <filter val="Equilibrium: Ekuanot+Mosaic"/>
        <filter val="Вспышка"/>
        <filter val="Дзен и искусство ухода за каламанси"/>
        <filter val="Том Ям Мастер Драм"/>
        <filter val="Domofon APA"/>
        <filter val="Goko"/>
        <filter val="Удар Тайсона"/>
        <filter val="Schukowski Pils / Жуковский Пилс"/>
        <filter val="Helles"/>
        <filter val="Fondue Fountain"/>
        <filter val="Neuro Juice Banana Mango Guava Pineapple Passionfruit Orange"/>
        <filter val="Юнга (Rum Edition)"/>
        <filter val="Starovar Black Velvet"/>
        <filter val="ПИРОГ Маракуйя, Клубника"/>
        <filter val="Sound Bevvy"/>
        <filter val="Serotonin: Black Currant, Blueberry, Mango"/>
        <filter val="Street Justice Idaho7"/>
        <filter val="Сидр Полусладкий 862 бут 0.33"/>
        <filter val="Serotonin: Mango, Plum, Peach"/>
        <filter val="Festival Destroyer"/>
        <filter val="Сheesecake Point: Blueberry, Banana &amp; Almond"/>
        <filter val="Luna Park: Персик Манго Апельсин"/>
        <filter val="Tomato Method"/>
        <filter val="Pure Shores"/>
        <filter val="Голова"/>
        <filter val="Juicy Rebels"/>
        <filter val="Off the Pond"/>
        <filter val="Blueberry and Vanilla Mead"/>
        <filter val="Serotonin: Guava, Papaya, Peach, Raspberry"/>
        <filter val="Headshrinker"/>
        <filter val="FIRST LOVE: BLACK CURRANT &amp; BANANA &amp; RASPBERRY"/>
        <filter val="Hungry Artist"/>
        <filter val="Apricot Mead"/>
        <filter val="Irish Wolf"/>
        <filter val="Citrus Groove"/>
        <filter val="MOMIJIGARI"/>
        <filter val="Your Young Lordship"/>
        <filter val="XTV-1 (Frozen)"/>
        <filter val="Heart of Forest"/>
        <filter val="Summertime IPA"/>
        <filter val="Rocket Jump"/>
        <filter val="КРАФТПИТ"/>
        <filter val="Suckin Diesel Hell"/>
        <filter val="Lone Sword"/>
        <filter val="Megafauna"/>
        <filter val="Летний вайб Черная смородина"/>
        <filter val="No-Sleep Time"/>
        <filter val="Aurora Tropicalis"/>
        <filter val="Ромашка"/>
        <filter val="Tartigo"/>
        <filter val="Mead Honeysuckle"/>
        <filter val="Pear, Lime &amp; Rosemary Mead"/>
        <filter val="Your Freak Lordship"/>
        <filter val="Тотем"/>
        <filter val="Pyment Mead"/>
        <filter val="La Lucha Libre Extra"/>
        <filter val="Turn Pineapple"/>
        <filter val="Raspberry &amp; Blueberry Bochet"/>
        <filter val="Hot Wax"/>
        <filter val="Летний вайб Малина"/>
        <filter val="Nekoyama"/>
        <filter val="Зависимость Чёрный перец"/>
        <filter val="Hop Gun"/>
        <filter val="Juniper &amp; Basil Tonic Mead"/>
        <filter val="Volan"/>
        <filter val="Repose"/>
        <filter val="Borgata"/>
        <filter val="Встреча"/>
        <filter val="Kuts Sichuan Batch"/>
        <filter val="Дзен и искусство ухода за цитрусами"/>
        <filter val="SLOW &amp; TRVE: DDH+Lupulin Powder"/>
        <filter val="Рассол дико зол"/>
        <filter val="Lager Lads Club"/>
        <filter val="Bright Queen"/>
        <filter val="Mustat Kivet"/>
        <filter val="Juicy IPA"/>
        <filter val="Conwy Castle"/>
        <filter val="Fracture: Lingonberry &amp; Jalapeno"/>
        <filter val="Luna Park: Апельсин Грейпфрут Персик"/>
        <filter val="Alpha Hops: Citra"/>
        <filter val="Pomegranate &amp; Hibiscus Bochet"/>
        <filter val="Midnight Beast"/>
        <filter val="Stoner"/>
        <filter val="Lemonade: Grape"/>
        <filter val="Smoothie Mead: Grapefruit, Strawberry, Mint"/>
        <filter val="Pet Nat 2022: Batch 22"/>
        <filter val="Banshee"/>
        <filter val="Academic Pizzicato"/>
        <filter val="B-DAY Lager"/>
        <filter val="Селестиал: Strata, Citra, Mosaic"/>
        <filter val="Perennial Quest"/>
        <filter val="Raspberry, Lime, Mint Mead"/>
        <filter val="Everyday Clown"/>
        <filter val="Puzzle Berry Sour"/>
        <filter val="Fire Hazard"/>
        <filter val="Супер-Эго"/>
        <filter val="Cherrytonin"/>
        <filter val="Hop Gun Battle Royale"/>
        <filter val="Tripod"/>
        <filter val="Fruitride"/>
        <filter val="DIPA"/>
        <filter val="Smoothie Mead: Strawberry, Banana, Cranberry"/>
        <filter val="Mezzonint"/>
        <filter val="Where Is My Wind?"/>
        <filter val="Не Кричи на Кимчи"/>
        <filter val="Starovar Prazsky Lezák"/>
        <filter val="На Десерт Вишневый пирог"/>
        <filter val="Starovar ЖИГУЛИ ОSOBOE"/>
        <filter val="Kellerbier"/>
        <filter val="Solunate"/>
        <filter val="Mead Cherry"/>
        <filter val="Сидр Полусухой Псковский Терруар 0.75"/>
        <filter val="Dessert Messiah: Cherry, Macaroon &amp; Almond Syrup"/>
        <filter val="Sommer"/>
        <filter val="Seven Shimmers"/>
        <filter val="Pineapple Lime Mead"/>
        <filter val="Fracture: Apple &amp; Pomegranate"/>
        <filter val="Pils"/>
        <filter val="Full immersion"/>
        <filter val="Hyperpink: Citra Cryo, Krush, Motueka"/>
        <filter val="Cilantro"/>
        <filter val="Зависимость Кинза"/>
        <filter val="Limit Break"/>
        <filter val="Orange And Vanilla Mead"/>
        <filter val="Mako APA"/>
        <filter val="Wild Cider 2019"/>
        <filter val="ESB"/>
        <filter val="Любовь и Ревень"/>
        <filter val="Tomato Method - Kimchi"/>
        <filter val="Второе дыхание"/>
        <filter val="Санный Спорт"/>
        <filter val="PILS"/>
        <filter val="Kuts Original"/>
        <filter val="Arcane Gleam"/>
        <filter val="Peach Orange Punch Mead"/>
        <filter val="Vari Oat Beer"/>
        <filter val="Staroparkala"/>
        <filter val="Lemon Forester"/>
        <filter val="Railgun"/>
        <filter val="Pet Nat by Rebel Apple сухой &#10;игристый"/>
        <filter val="Gose"/>
        <filter val="Сидр Полусухой Псковский Терруар бут 0.33"/>
        <filter val="Starovar IPA"/>
        <filter val="Выдыхай"/>
        <filter val="Vari Corn &amp; Rice Beer"/>
        <filter val="Kuts Sea Salt Batch"/>
        <filter val="Straßenbahn"/>
        <filter val="Кислота Grapefruit"/>
        <filter val="Tiny Love"/>
        <filter val="Shroomie"/>
        <filter val="Calamansi Bochet"/>
        <filter val="Мачо Гаспачо"/>
        <filter val="Alphorn"/>
        <filter val="Waffle Shuffle: Banana, Strawberry &amp; Chocolate Syrup"/>
        <filter val="Traditional Mead"/>
        <filter val="Сидр Полусухой Hop Me ж/б 0.33"/>
        <filter val="Berry Sour Kitchen Black Currant, Mint"/>
        <filter val="Lemonade: Cherry"/>
        <filter val="FAKE PLANTS Blueberry, Raspberry &amp; Bergamot"/>
        <filter val="Десерт В Твоем Бокале"/>
        <filter val="Warlock Ritual"/>
        <filter val="Неизбежность"/>
        <filter val="Ceremony"/>
        <filter val="Cheri Cheri Lady"/>
        <filter val="Дела Ламы"/>
        <filter val="Seven Lands"/>
        <filter val="Street Justice Mosaic"/>
        <filter val="Tropical Mix"/>
        <filter val="Galaxy Edge: Blue Milk"/>
        <filter val="Melon and Lemongrass Mead"/>
        <filter val="EDEN SIN. Глава III (2023). Полусладкий игристый"/>
        <filter val="Solar Pressure (Orange ed.)"/>
        <filter val="Kannistarha"/>
        <filter val="Blueberry And Hops Mead"/>
        <filter val="Petroskoi"/>
        <filter val="Сидр Полусухой Hop Me бут 0.33"/>
        <filter val="American Pale Ale"/>
        <filter val="Цитра"/>
        <filter val="Shake Bus: Banana, Passion Fruit &amp; Calamansi"/>
        <filter val="Matilde Frozen"/>
        <filter val="Trafaret"/>
        <filter val="Starovar Munchen Helles"/>
        <filter val="Micro Kuts (Little Gose)"/>
        <filter val="Waka"/>
        <filter val="Выгорание"/>
        <filter val="Томатная дичь Мостарда"/>
        <filter val="Wish Wish"/>
        <filter val="Сидр Сухой Пуаре 0.75"/>
        <filter val="Острый Синьор Помидор"/>
        <filter val="Kolsch"/>
        <filter val="Cowberry Bochet"/>
        <filter val="ТИШИНА. Bag-in-Box. Vintage 2021"/>
        <filter val="Lagerline"/>
        <filter val="Raspberry, Mint And Hops Mead"/>
        <filter val="Who Is Here?"/>
        <filter val="Sour Passion Party"/>
        <filter val="Hellbringer"/>
        <filter val="Don Mazilic"/>
        <filter val="Mead Traditional"/>
        <filter val="Potato Day"/>
        <filter val="Зависимость Базилик"/>
        <filter val="ISO FUCKING TONIC"/>
        <filter val="We took a photo for this collab a year and a half ago"/>
        <filter val="Replica: Talus"/>
        <filter val="HOPPY LAGER"/>
        <filter val="KODAMA"/>
        <filter val="Apple,Cherry Punch Mead (Пунш Яблоко-Вишня)"/>
        <filter val="Drink ‘Em All"/>
        <filter val="Smoothie Mead: Mango, Orange"/>
        <filter val="Эбру Черная смородина, Малина, Гранат, Арония"/>
        <filter val="Mead Mango Сhili"/>
        <filter val="Ipacalypse Now"/>
        <filter val="Croissant Adept: Cherry, Raspberry &amp; Peanut Butter"/>
        <filter val="Tropical Trip"/>
        <filter val="Mead Cyser"/>
        <filter val="Сидр Сухой Hop Me ж/б 0.33"/>
        <filter val="Mead Sea-Buckthorn"/>
        <filter val="4 In 1 Super Sour"/>
        <filter val="Transistor"/>
        <filter val="WIND OF FEAR"/>
        <filter val="За Лисички Поясняем В Личке"/>
        <filter val="В Собственном Соку: Клюква"/>
        <filter val="Void Garden"/>
        <filter val="Добро"/>
        <filter val="Тропическая Дичь"/>
        <filter val="Blast Beat: DDH+Lupulin Powder"/>
        <filter val="Сидр Полусухой Органический 0.75"/>
        <filter val="Harvest Lord"/>
        <filter val="Starovar English Porter"/>
        <filter val="Kiss My Soul"/>
        <filter val="Психоделический Трип"/>
        <filter val="Backyard Party"/>
        <filter val="Strawberry &amp; Banana Pie Mead"/>
        <filter val="Strawberry'lips"/>
        <filter val="TOMATO TOMATO UKROP"/>
        <filter val="Дислексия"/>
        <filter val="Королева пентаклей"/>
        <filter val="Blackberry Mead"/>
        <filter val="King Helle Dry Hop Batch"/>
        <filter val="Starovar Greenwich"/>
        <filter val="Meet &amp; Greet (Black Tea X Raspberry)"/>
        <filter val="Ethereal Mist"/>
        <filter val="Black Currant Mead"/>
        <filter val="A Night In The Lonesome October"/>
        <filter val="Cambridge Music"/>
        <filter val="Рыжая Соня"/>
        <filter val="Waffle Shuffle: Mango, Grape &amp; Toffee"/>
        <filter val="Meltdown: Sunset"/>
        <filter val="Invaders Strike Back"/>
        <filter val="ПИРОГ Маракуйя, Слива, Малина"/>
        <filter val="Dickiy Crest Полусухой"/>
        <filter val="Krasnie Mokasiny"/>
        <filter val="Smoothie Imperial Mead: Blackberry Feijoa Lemongrass"/>
        <filter val="Lingonberry Rhubarb and Hops Mead"/>
        <filter val="ABC-Kölsch"/>
        <filter val="Shroomdalf"/>
        <filter val="ПАРСЕК"/>
        <filter val="4 Anniversary Smoothie Ale"/>
        <filter val="Maythorn"/>
        <filter val="Jackeen"/>
        <filter val="Сидр Сухой Старый Изборск бут 0.33"/>
        <filter val="Moxie"/>
        <filter val="BIG CLASH!"/>
        <filter val="Аномалия"/>
        <filter val="Kuts (Estragon Batch)"/>
        <filter val="Dry Stout"/>
        <filter val="Mousse Cake Raspberry Apricot"/>
        <filter val="На десерт Яблоко Корица Печенье"/>
        <filter val="Serotonin: Strawberry, Guava"/>
        <filter val="Neuro Juice Mango, Passionfruit"/>
        <filter val="Draft Mead"/>
        <filter val="Neuro Juice Black Currant, Strawberry, Cranberry, Raspberry, Cherry, Cowberry"/>
        <filter val="Luna Park: Манго Грейпфрут Апельсин"/>
        <filter val="Seven Seconds"/>
        <filter val="Starovar Weizen"/>
        <filter val="Стихия"/>
        <filter val="Томатная Дичь Кимчи"/>
        <filter val="The End of The Land"/>
        <filter val="Аддикция"/>
        <filter val="Медовый пломбир с черной смородиной и гуанабаной"/>
        <filter val="Томатная дичь Карри"/>
        <filter val="Птичий короб"/>
        <filter val="Druids Elixir"/>
        <filter val="Аджика Многолика"/>
        <filter val="Strawberry Lavender &amp; Hops Mead"/>
        <filter val="Mecca"/>
        <filter val="Deathspeaker"/>
        <filter val="Melchior"/>
        <filter val="Emerald Head"/>
        <filter val="Сидр Полусухой Органический бут 0.33"/>
        <filter val="Нежность"/>
        <filter val="Multi Pass Mead"/>
        <filter val="Northern Nomad"/>
        <filter val="Recovery Pils"/>
        <filter val="Mein Konig"/>
        <filter val="Dogmatic"/>
        <filter val="Сидр Полусладкий 862 0.75"/>
        <filter val="Rauchzart"/>
        <filter val="Heart of Smoke"/>
        <filter val="Сидр Сухой Ревень ж/б 0.33"/>
        <filter val="Fruitality"/>
        <filter val="Pepper Keeper"/>
        <filter val="Birthday Boy"/>
        <filter val="Street Justice Citra"/>
        <filter val="Тотем - Медведь"/>
        <filter val="BIRDS Passion Fruit, Pineapple, Mango, Banana"/>
        <filter val="Tropical Slasher"/>
        <filter val="Утро Туманное"/>
        <filter val="Токсовский Трамплин"/>
        <filter val="Kells"/>
        <filter val="Very Tasty"/>
        <filter val="Starovar Belgian Ale"/>
        <filter val="Seven Seas"/>
        <filter val="На десерт Банан, Красный апельсин, Миндаль, Ваниль)"/>
        <filter val="Томатная дичь Копченая"/>
        <filter val="Holy DIPA"/>
        <filter val="Dogwood Lemongrass Mead"/>
        <filter val="Отличный Урожай"/>
        <filter val="Žukovskij Ležák / Жуковский Лежак"/>
        <filter val="Village Stout"/>
        <filter val="Медовый пломбир с малиной"/>
        <filter val="Quince &amp; Dogwood Mead (Айва - Кизил)"/>
        <filter val="ABC-Weizen"/>
        <filter val="Пылающая Дичь"/>
        <filter val="NEIPAТЬ КОЛОТИТЬ"/>
        <filter val="Honeypot: Вишня"/>
        <filter val="Birds Mango, Strawberry. Watermelon"/>
        <filter val="Hot Smoothie You Deserve: Mango"/>
        <filter val="Томатная Дичь Мичелада"/>
        <filter val="Days Sober 00"/>
        <filter val="Evolve! Morph 7"/>
        <filter val="Muapolku"/>
        <filter val="Синьор Помидор и Друг Его Тимьян"/>
        <filter val="Вторая Личность"/>
        <filter val="Oatmeal Stout"/>
        <filter val="Cherry Nuts Mead"/>
        <filter val="Сидр Сухой Hop Me бут 0.33"/>
        <filter val="Главное — участие"/>
        <filter val="Starovar APA"/>
        <filter val="Braw Chuchter"/>
        <filter val="Зависимость Копченая"/>
        <filter val="Weizen"/>
        <filter val="Томатная Дичь"/>
        <filter val="FAKE PLANTS Guanabana x Strawberry"/>
        <filter val="Кислый движ"/>
        <filter val="Mead Citrus"/>
        <filter val="Медовый пломбир с клюквой"/>
        <filter val="Сон Масала Мандарин"/>
        <filter val="Hidden Garden #6"/>
        <filter val="Сидр Сухой Старый Изборск 0.75"/>
        <filter val="PILS 0.33"/>
        <filter val="Yogurt: Apricot"/>
        <filter val="Planespotting Spot"/>
        <filter val="Birds Guava, Kiwi, Raspberry, Pineapple"/>
        <filter val="Банановые Мозги"/>
        <filter val="Синьор Помидор и Братец Базилик"/>
        <filter val="Tripel Monke"/>
        <filter val="Твой хороший мальчик"/>
        <filter val="Desítka"/>
        <filter val="Space Moth"/>
        <filter val="Skybloom"/>
        <filter val="Tropical Domination"/>
        <filter val="Чешская деситка"/>
        <filter val="BIRDS Lychee, Mango, Banana, Passion Fruit"/>
        <filter val="Безопасный Грейпфрут"/>
        <filter val="Salt Mate"/>
        <filter val="Grapefruit Mead"/>
        <filter val="IPA"/>
      </filters>
    </filterColumn>
    <filterColumn colId="9" hiddenButton="0" showButton="1">
      <filters blank="1">
        <filter val="12"/>
        <filter val="172"/>
        <filter val="10"/>
      </filters>
    </filterColumn>
  </autoFilter>
  <mergeCells count="35">
    <mergeCell ref="A268:I268"/>
    <mergeCell ref="A193:I193"/>
    <mergeCell ref="A409:I409"/>
    <mergeCell ref="A3:I3"/>
    <mergeCell ref="A365:I365"/>
    <mergeCell ref="A151:I151"/>
    <mergeCell ref="F1:I1"/>
    <mergeCell ref="A307:I307"/>
    <mergeCell ref="A32:I32"/>
    <mergeCell ref="A14:I14"/>
    <mergeCell ref="A203:I203"/>
    <mergeCell ref="A263:I263"/>
    <mergeCell ref="A290:I290"/>
    <mergeCell ref="A106:I106"/>
    <mergeCell ref="A131:I131"/>
    <mergeCell ref="A395:I395"/>
    <mergeCell ref="A411:I411"/>
    <mergeCell ref="A72:I72"/>
    <mergeCell ref="A1:D1"/>
    <mergeCell ref="A180:I180"/>
    <mergeCell ref="A63:I63"/>
    <mergeCell ref="A230:I230"/>
    <mergeCell ref="A77:I77"/>
    <mergeCell ref="A261:I261"/>
    <mergeCell ref="A48:I48"/>
    <mergeCell ref="A232:I232"/>
    <mergeCell ref="A166:I166"/>
    <mergeCell ref="A402:I402"/>
    <mergeCell ref="A340:I340"/>
    <mergeCell ref="A216:I216"/>
    <mergeCell ref="A169:I169"/>
    <mergeCell ref="A334:I334"/>
    <mergeCell ref="A197:I197"/>
    <mergeCell ref="A241:I241"/>
    <mergeCell ref="A398:I398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8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0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3" r:id="rId152"/>
    <hyperlink xmlns:r="http://schemas.openxmlformats.org/officeDocument/2006/relationships" ref="B164" r:id="rId153"/>
    <hyperlink xmlns:r="http://schemas.openxmlformats.org/officeDocument/2006/relationships" ref="B165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70" r:id="rId157"/>
    <hyperlink xmlns:r="http://schemas.openxmlformats.org/officeDocument/2006/relationships" ref="B171" r:id="rId158"/>
    <hyperlink xmlns:r="http://schemas.openxmlformats.org/officeDocument/2006/relationships" ref="B172" r:id="rId159"/>
    <hyperlink xmlns:r="http://schemas.openxmlformats.org/officeDocument/2006/relationships" ref="B173" r:id="rId160"/>
    <hyperlink xmlns:r="http://schemas.openxmlformats.org/officeDocument/2006/relationships" ref="B174" r:id="rId161"/>
    <hyperlink xmlns:r="http://schemas.openxmlformats.org/officeDocument/2006/relationships" ref="B175" r:id="rId162"/>
    <hyperlink xmlns:r="http://schemas.openxmlformats.org/officeDocument/2006/relationships" ref="B176" r:id="rId163"/>
    <hyperlink xmlns:r="http://schemas.openxmlformats.org/officeDocument/2006/relationships" ref="B177" r:id="rId164"/>
    <hyperlink xmlns:r="http://schemas.openxmlformats.org/officeDocument/2006/relationships" ref="B178" r:id="rId165"/>
    <hyperlink xmlns:r="http://schemas.openxmlformats.org/officeDocument/2006/relationships" ref="B179" r:id="rId166"/>
    <hyperlink xmlns:r="http://schemas.openxmlformats.org/officeDocument/2006/relationships" ref="B181" r:id="rId167"/>
    <hyperlink xmlns:r="http://schemas.openxmlformats.org/officeDocument/2006/relationships" ref="B182" r:id="rId168"/>
    <hyperlink xmlns:r="http://schemas.openxmlformats.org/officeDocument/2006/relationships" ref="B183" r:id="rId169"/>
    <hyperlink xmlns:r="http://schemas.openxmlformats.org/officeDocument/2006/relationships" ref="B184" r:id="rId170"/>
    <hyperlink xmlns:r="http://schemas.openxmlformats.org/officeDocument/2006/relationships" ref="B185" r:id="rId171"/>
    <hyperlink xmlns:r="http://schemas.openxmlformats.org/officeDocument/2006/relationships" ref="B186" r:id="rId172"/>
    <hyperlink xmlns:r="http://schemas.openxmlformats.org/officeDocument/2006/relationships" ref="B187" r:id="rId173"/>
    <hyperlink xmlns:r="http://schemas.openxmlformats.org/officeDocument/2006/relationships" ref="B188" r:id="rId174"/>
    <hyperlink xmlns:r="http://schemas.openxmlformats.org/officeDocument/2006/relationships" ref="B189" r:id="rId175"/>
    <hyperlink xmlns:r="http://schemas.openxmlformats.org/officeDocument/2006/relationships" ref="B190" r:id="rId176"/>
    <hyperlink xmlns:r="http://schemas.openxmlformats.org/officeDocument/2006/relationships" ref="B191" r:id="rId177"/>
    <hyperlink xmlns:r="http://schemas.openxmlformats.org/officeDocument/2006/relationships" ref="B192" r:id="rId178"/>
    <hyperlink xmlns:r="http://schemas.openxmlformats.org/officeDocument/2006/relationships" ref="B194" r:id="rId179"/>
    <hyperlink xmlns:r="http://schemas.openxmlformats.org/officeDocument/2006/relationships" ref="B195" r:id="rId180"/>
    <hyperlink xmlns:r="http://schemas.openxmlformats.org/officeDocument/2006/relationships" ref="B196" r:id="rId181"/>
    <hyperlink xmlns:r="http://schemas.openxmlformats.org/officeDocument/2006/relationships" ref="B198" r:id="rId182"/>
    <hyperlink xmlns:r="http://schemas.openxmlformats.org/officeDocument/2006/relationships" ref="B199" r:id="rId183"/>
    <hyperlink xmlns:r="http://schemas.openxmlformats.org/officeDocument/2006/relationships" ref="B200" r:id="rId184"/>
    <hyperlink xmlns:r="http://schemas.openxmlformats.org/officeDocument/2006/relationships" ref="B201" r:id="rId185"/>
    <hyperlink xmlns:r="http://schemas.openxmlformats.org/officeDocument/2006/relationships" ref="B202" r:id="rId186"/>
    <hyperlink xmlns:r="http://schemas.openxmlformats.org/officeDocument/2006/relationships" ref="B204" r:id="rId187"/>
    <hyperlink xmlns:r="http://schemas.openxmlformats.org/officeDocument/2006/relationships" ref="B205" r:id="rId188"/>
    <hyperlink xmlns:r="http://schemas.openxmlformats.org/officeDocument/2006/relationships" ref="B206" r:id="rId189"/>
    <hyperlink xmlns:r="http://schemas.openxmlformats.org/officeDocument/2006/relationships" ref="B207" r:id="rId190"/>
    <hyperlink xmlns:r="http://schemas.openxmlformats.org/officeDocument/2006/relationships" ref="B208" r:id="rId191"/>
    <hyperlink xmlns:r="http://schemas.openxmlformats.org/officeDocument/2006/relationships" ref="B209" r:id="rId192"/>
    <hyperlink xmlns:r="http://schemas.openxmlformats.org/officeDocument/2006/relationships" ref="B210" r:id="rId193"/>
    <hyperlink xmlns:r="http://schemas.openxmlformats.org/officeDocument/2006/relationships" ref="B211" r:id="rId194"/>
    <hyperlink xmlns:r="http://schemas.openxmlformats.org/officeDocument/2006/relationships" ref="B212" r:id="rId195"/>
    <hyperlink xmlns:r="http://schemas.openxmlformats.org/officeDocument/2006/relationships" ref="B213" r:id="rId196"/>
    <hyperlink xmlns:r="http://schemas.openxmlformats.org/officeDocument/2006/relationships" ref="B214" r:id="rId197"/>
    <hyperlink xmlns:r="http://schemas.openxmlformats.org/officeDocument/2006/relationships" ref="B215" r:id="rId198"/>
    <hyperlink xmlns:r="http://schemas.openxmlformats.org/officeDocument/2006/relationships" ref="B217" r:id="rId199"/>
    <hyperlink xmlns:r="http://schemas.openxmlformats.org/officeDocument/2006/relationships" ref="B218" r:id="rId200"/>
    <hyperlink xmlns:r="http://schemas.openxmlformats.org/officeDocument/2006/relationships" ref="B219" r:id="rId201"/>
    <hyperlink xmlns:r="http://schemas.openxmlformats.org/officeDocument/2006/relationships" ref="B220" r:id="rId202"/>
    <hyperlink xmlns:r="http://schemas.openxmlformats.org/officeDocument/2006/relationships" ref="B221" r:id="rId203"/>
    <hyperlink xmlns:r="http://schemas.openxmlformats.org/officeDocument/2006/relationships" ref="B222" r:id="rId204"/>
    <hyperlink xmlns:r="http://schemas.openxmlformats.org/officeDocument/2006/relationships" ref="B223" r:id="rId205"/>
    <hyperlink xmlns:r="http://schemas.openxmlformats.org/officeDocument/2006/relationships" ref="B224" r:id="rId206"/>
    <hyperlink xmlns:r="http://schemas.openxmlformats.org/officeDocument/2006/relationships" ref="B225" r:id="rId207"/>
    <hyperlink xmlns:r="http://schemas.openxmlformats.org/officeDocument/2006/relationships" ref="B226" r:id="rId208"/>
    <hyperlink xmlns:r="http://schemas.openxmlformats.org/officeDocument/2006/relationships" ref="B227" r:id="rId209"/>
    <hyperlink xmlns:r="http://schemas.openxmlformats.org/officeDocument/2006/relationships" ref="B228" r:id="rId210"/>
    <hyperlink xmlns:r="http://schemas.openxmlformats.org/officeDocument/2006/relationships" ref="B229" r:id="rId211"/>
    <hyperlink xmlns:r="http://schemas.openxmlformats.org/officeDocument/2006/relationships" ref="B231" location="google_vignette" r:id="rId212"/>
    <hyperlink xmlns:r="http://schemas.openxmlformats.org/officeDocument/2006/relationships" ref="B233" r:id="rId213"/>
    <hyperlink xmlns:r="http://schemas.openxmlformats.org/officeDocument/2006/relationships" ref="B234" r:id="rId214"/>
    <hyperlink xmlns:r="http://schemas.openxmlformats.org/officeDocument/2006/relationships" ref="B235" r:id="rId215"/>
    <hyperlink xmlns:r="http://schemas.openxmlformats.org/officeDocument/2006/relationships" ref="B236" r:id="rId216"/>
    <hyperlink xmlns:r="http://schemas.openxmlformats.org/officeDocument/2006/relationships" ref="B238" r:id="rId217"/>
    <hyperlink xmlns:r="http://schemas.openxmlformats.org/officeDocument/2006/relationships" ref="B239" r:id="rId218"/>
    <hyperlink xmlns:r="http://schemas.openxmlformats.org/officeDocument/2006/relationships" ref="B240" r:id="rId219"/>
    <hyperlink xmlns:r="http://schemas.openxmlformats.org/officeDocument/2006/relationships" ref="B242" r:id="rId220"/>
    <hyperlink xmlns:r="http://schemas.openxmlformats.org/officeDocument/2006/relationships" ref="B243" r:id="rId221"/>
    <hyperlink xmlns:r="http://schemas.openxmlformats.org/officeDocument/2006/relationships" ref="B244" r:id="rId222"/>
    <hyperlink xmlns:r="http://schemas.openxmlformats.org/officeDocument/2006/relationships" ref="B245" r:id="rId223"/>
    <hyperlink xmlns:r="http://schemas.openxmlformats.org/officeDocument/2006/relationships" ref="B246" r:id="rId224"/>
    <hyperlink xmlns:r="http://schemas.openxmlformats.org/officeDocument/2006/relationships" ref="B247" r:id="rId225"/>
    <hyperlink xmlns:r="http://schemas.openxmlformats.org/officeDocument/2006/relationships" ref="B248" r:id="rId226"/>
    <hyperlink xmlns:r="http://schemas.openxmlformats.org/officeDocument/2006/relationships" ref="B249" r:id="rId227"/>
    <hyperlink xmlns:r="http://schemas.openxmlformats.org/officeDocument/2006/relationships" ref="B250" r:id="rId228"/>
    <hyperlink xmlns:r="http://schemas.openxmlformats.org/officeDocument/2006/relationships" ref="B251" r:id="rId229"/>
    <hyperlink xmlns:r="http://schemas.openxmlformats.org/officeDocument/2006/relationships" ref="B252" r:id="rId230"/>
    <hyperlink xmlns:r="http://schemas.openxmlformats.org/officeDocument/2006/relationships" ref="B253" r:id="rId231"/>
    <hyperlink xmlns:r="http://schemas.openxmlformats.org/officeDocument/2006/relationships" ref="B254" r:id="rId232"/>
    <hyperlink xmlns:r="http://schemas.openxmlformats.org/officeDocument/2006/relationships" ref="B255" r:id="rId233"/>
    <hyperlink xmlns:r="http://schemas.openxmlformats.org/officeDocument/2006/relationships" ref="B256" r:id="rId234"/>
    <hyperlink xmlns:r="http://schemas.openxmlformats.org/officeDocument/2006/relationships" ref="B257" r:id="rId235"/>
    <hyperlink xmlns:r="http://schemas.openxmlformats.org/officeDocument/2006/relationships" ref="B258" r:id="rId236"/>
    <hyperlink xmlns:r="http://schemas.openxmlformats.org/officeDocument/2006/relationships" ref="B259" r:id="rId237"/>
    <hyperlink xmlns:r="http://schemas.openxmlformats.org/officeDocument/2006/relationships" ref="B260" r:id="rId238"/>
    <hyperlink xmlns:r="http://schemas.openxmlformats.org/officeDocument/2006/relationships" ref="B262" r:id="rId239"/>
    <hyperlink xmlns:r="http://schemas.openxmlformats.org/officeDocument/2006/relationships" ref="B264" r:id="rId240"/>
    <hyperlink xmlns:r="http://schemas.openxmlformats.org/officeDocument/2006/relationships" ref="B265" r:id="rId241"/>
    <hyperlink xmlns:r="http://schemas.openxmlformats.org/officeDocument/2006/relationships" ref="B266" r:id="rId242"/>
    <hyperlink xmlns:r="http://schemas.openxmlformats.org/officeDocument/2006/relationships" ref="B267" r:id="rId243"/>
    <hyperlink xmlns:r="http://schemas.openxmlformats.org/officeDocument/2006/relationships" ref="B269" r:id="rId244"/>
    <hyperlink xmlns:r="http://schemas.openxmlformats.org/officeDocument/2006/relationships" ref="B270" r:id="rId245"/>
    <hyperlink xmlns:r="http://schemas.openxmlformats.org/officeDocument/2006/relationships" ref="B271" r:id="rId246"/>
    <hyperlink xmlns:r="http://schemas.openxmlformats.org/officeDocument/2006/relationships" ref="B272" r:id="rId247"/>
    <hyperlink xmlns:r="http://schemas.openxmlformats.org/officeDocument/2006/relationships" ref="B273" r:id="rId248"/>
    <hyperlink xmlns:r="http://schemas.openxmlformats.org/officeDocument/2006/relationships" ref="B274" r:id="rId249"/>
    <hyperlink xmlns:r="http://schemas.openxmlformats.org/officeDocument/2006/relationships" ref="B275" r:id="rId250"/>
    <hyperlink xmlns:r="http://schemas.openxmlformats.org/officeDocument/2006/relationships" ref="B276" r:id="rId251"/>
    <hyperlink xmlns:r="http://schemas.openxmlformats.org/officeDocument/2006/relationships" ref="B277" r:id="rId252"/>
    <hyperlink xmlns:r="http://schemas.openxmlformats.org/officeDocument/2006/relationships" ref="B278" r:id="rId253"/>
    <hyperlink xmlns:r="http://schemas.openxmlformats.org/officeDocument/2006/relationships" ref="B279" r:id="rId254"/>
    <hyperlink xmlns:r="http://schemas.openxmlformats.org/officeDocument/2006/relationships" ref="B280" r:id="rId255"/>
    <hyperlink xmlns:r="http://schemas.openxmlformats.org/officeDocument/2006/relationships" ref="B281" r:id="rId256"/>
    <hyperlink xmlns:r="http://schemas.openxmlformats.org/officeDocument/2006/relationships" ref="B282" r:id="rId257"/>
    <hyperlink xmlns:r="http://schemas.openxmlformats.org/officeDocument/2006/relationships" ref="B283" r:id="rId258"/>
    <hyperlink xmlns:r="http://schemas.openxmlformats.org/officeDocument/2006/relationships" ref="B284" r:id="rId259"/>
    <hyperlink xmlns:r="http://schemas.openxmlformats.org/officeDocument/2006/relationships" ref="B285" r:id="rId260"/>
    <hyperlink xmlns:r="http://schemas.openxmlformats.org/officeDocument/2006/relationships" ref="B286" r:id="rId261"/>
    <hyperlink xmlns:r="http://schemas.openxmlformats.org/officeDocument/2006/relationships" ref="B287" r:id="rId262"/>
    <hyperlink xmlns:r="http://schemas.openxmlformats.org/officeDocument/2006/relationships" ref="B288" r:id="rId263"/>
    <hyperlink xmlns:r="http://schemas.openxmlformats.org/officeDocument/2006/relationships" ref="B289" r:id="rId264"/>
    <hyperlink xmlns:r="http://schemas.openxmlformats.org/officeDocument/2006/relationships" ref="B291" r:id="rId265"/>
    <hyperlink xmlns:r="http://schemas.openxmlformats.org/officeDocument/2006/relationships" ref="B292" r:id="rId266"/>
    <hyperlink xmlns:r="http://schemas.openxmlformats.org/officeDocument/2006/relationships" ref="B293" r:id="rId267"/>
    <hyperlink xmlns:r="http://schemas.openxmlformats.org/officeDocument/2006/relationships" ref="B294" r:id="rId268"/>
    <hyperlink xmlns:r="http://schemas.openxmlformats.org/officeDocument/2006/relationships" ref="B295" r:id="rId269"/>
    <hyperlink xmlns:r="http://schemas.openxmlformats.org/officeDocument/2006/relationships" ref="B296" r:id="rId270"/>
    <hyperlink xmlns:r="http://schemas.openxmlformats.org/officeDocument/2006/relationships" ref="B297" r:id="rId271"/>
    <hyperlink xmlns:r="http://schemas.openxmlformats.org/officeDocument/2006/relationships" ref="B298" r:id="rId272"/>
    <hyperlink xmlns:r="http://schemas.openxmlformats.org/officeDocument/2006/relationships" ref="B299" r:id="rId273"/>
    <hyperlink xmlns:r="http://schemas.openxmlformats.org/officeDocument/2006/relationships" ref="B300" r:id="rId274"/>
    <hyperlink xmlns:r="http://schemas.openxmlformats.org/officeDocument/2006/relationships" ref="B301" r:id="rId275"/>
    <hyperlink xmlns:r="http://schemas.openxmlformats.org/officeDocument/2006/relationships" ref="B302" r:id="rId276"/>
    <hyperlink xmlns:r="http://schemas.openxmlformats.org/officeDocument/2006/relationships" ref="B303" r:id="rId277"/>
    <hyperlink xmlns:r="http://schemas.openxmlformats.org/officeDocument/2006/relationships" ref="B304" r:id="rId278"/>
    <hyperlink xmlns:r="http://schemas.openxmlformats.org/officeDocument/2006/relationships" ref="B305" r:id="rId279"/>
    <hyperlink xmlns:r="http://schemas.openxmlformats.org/officeDocument/2006/relationships" ref="B306" r:id="rId280"/>
    <hyperlink xmlns:r="http://schemas.openxmlformats.org/officeDocument/2006/relationships" ref="B308" r:id="rId281"/>
    <hyperlink xmlns:r="http://schemas.openxmlformats.org/officeDocument/2006/relationships" ref="B309" r:id="rId282"/>
    <hyperlink xmlns:r="http://schemas.openxmlformats.org/officeDocument/2006/relationships" ref="B310" r:id="rId283"/>
    <hyperlink xmlns:r="http://schemas.openxmlformats.org/officeDocument/2006/relationships" ref="B311" r:id="rId284"/>
    <hyperlink xmlns:r="http://schemas.openxmlformats.org/officeDocument/2006/relationships" ref="B312" r:id="rId285"/>
    <hyperlink xmlns:r="http://schemas.openxmlformats.org/officeDocument/2006/relationships" ref="B313" r:id="rId286"/>
    <hyperlink xmlns:r="http://schemas.openxmlformats.org/officeDocument/2006/relationships" ref="B314" r:id="rId287"/>
    <hyperlink xmlns:r="http://schemas.openxmlformats.org/officeDocument/2006/relationships" ref="B315" r:id="rId288"/>
    <hyperlink xmlns:r="http://schemas.openxmlformats.org/officeDocument/2006/relationships" ref="B316" r:id="rId289"/>
    <hyperlink xmlns:r="http://schemas.openxmlformats.org/officeDocument/2006/relationships" ref="B317" r:id="rId290"/>
    <hyperlink xmlns:r="http://schemas.openxmlformats.org/officeDocument/2006/relationships" ref="B318" r:id="rId291"/>
    <hyperlink xmlns:r="http://schemas.openxmlformats.org/officeDocument/2006/relationships" ref="B319" r:id="rId292"/>
    <hyperlink xmlns:r="http://schemas.openxmlformats.org/officeDocument/2006/relationships" ref="B320" r:id="rId293"/>
    <hyperlink xmlns:r="http://schemas.openxmlformats.org/officeDocument/2006/relationships" ref="B321" r:id="rId294"/>
    <hyperlink xmlns:r="http://schemas.openxmlformats.org/officeDocument/2006/relationships" ref="B322" r:id="rId295"/>
    <hyperlink xmlns:r="http://schemas.openxmlformats.org/officeDocument/2006/relationships" ref="B323" r:id="rId296"/>
    <hyperlink xmlns:r="http://schemas.openxmlformats.org/officeDocument/2006/relationships" ref="B324" r:id="rId297"/>
    <hyperlink xmlns:r="http://schemas.openxmlformats.org/officeDocument/2006/relationships" ref="B325" r:id="rId298"/>
    <hyperlink xmlns:r="http://schemas.openxmlformats.org/officeDocument/2006/relationships" ref="B326" r:id="rId299"/>
    <hyperlink xmlns:r="http://schemas.openxmlformats.org/officeDocument/2006/relationships" ref="B327" r:id="rId300"/>
    <hyperlink xmlns:r="http://schemas.openxmlformats.org/officeDocument/2006/relationships" ref="B328" r:id="rId301"/>
    <hyperlink xmlns:r="http://schemas.openxmlformats.org/officeDocument/2006/relationships" ref="B329" r:id="rId302"/>
    <hyperlink xmlns:r="http://schemas.openxmlformats.org/officeDocument/2006/relationships" ref="B330" r:id="rId303"/>
    <hyperlink xmlns:r="http://schemas.openxmlformats.org/officeDocument/2006/relationships" ref="B331" r:id="rId304"/>
    <hyperlink xmlns:r="http://schemas.openxmlformats.org/officeDocument/2006/relationships" ref="B332" r:id="rId305"/>
    <hyperlink xmlns:r="http://schemas.openxmlformats.org/officeDocument/2006/relationships" ref="B333" r:id="rId306"/>
    <hyperlink xmlns:r="http://schemas.openxmlformats.org/officeDocument/2006/relationships" ref="B335" r:id="rId307"/>
    <hyperlink xmlns:r="http://schemas.openxmlformats.org/officeDocument/2006/relationships" ref="B336" r:id="rId308"/>
    <hyperlink xmlns:r="http://schemas.openxmlformats.org/officeDocument/2006/relationships" ref="B337" r:id="rId309"/>
    <hyperlink xmlns:r="http://schemas.openxmlformats.org/officeDocument/2006/relationships" ref="B338" r:id="rId310"/>
    <hyperlink xmlns:r="http://schemas.openxmlformats.org/officeDocument/2006/relationships" ref="B339" r:id="rId311"/>
    <hyperlink xmlns:r="http://schemas.openxmlformats.org/officeDocument/2006/relationships" ref="B341" r:id="rId312"/>
    <hyperlink xmlns:r="http://schemas.openxmlformats.org/officeDocument/2006/relationships" ref="B342" r:id="rId313"/>
    <hyperlink xmlns:r="http://schemas.openxmlformats.org/officeDocument/2006/relationships" ref="B343" r:id="rId314"/>
    <hyperlink xmlns:r="http://schemas.openxmlformats.org/officeDocument/2006/relationships" ref="B344" r:id="rId315"/>
    <hyperlink xmlns:r="http://schemas.openxmlformats.org/officeDocument/2006/relationships" ref="B345" r:id="rId316"/>
    <hyperlink xmlns:r="http://schemas.openxmlformats.org/officeDocument/2006/relationships" ref="B346" r:id="rId317"/>
    <hyperlink xmlns:r="http://schemas.openxmlformats.org/officeDocument/2006/relationships" ref="B347" r:id="rId318"/>
    <hyperlink xmlns:r="http://schemas.openxmlformats.org/officeDocument/2006/relationships" ref="B348" r:id="rId319"/>
    <hyperlink xmlns:r="http://schemas.openxmlformats.org/officeDocument/2006/relationships" ref="B349" r:id="rId320"/>
    <hyperlink xmlns:r="http://schemas.openxmlformats.org/officeDocument/2006/relationships" ref="B350" r:id="rId321"/>
    <hyperlink xmlns:r="http://schemas.openxmlformats.org/officeDocument/2006/relationships" ref="B351" r:id="rId322"/>
    <hyperlink xmlns:r="http://schemas.openxmlformats.org/officeDocument/2006/relationships" ref="B352" r:id="rId323"/>
    <hyperlink xmlns:r="http://schemas.openxmlformats.org/officeDocument/2006/relationships" ref="B353" r:id="rId324"/>
    <hyperlink xmlns:r="http://schemas.openxmlformats.org/officeDocument/2006/relationships" ref="B354" r:id="rId325"/>
    <hyperlink xmlns:r="http://schemas.openxmlformats.org/officeDocument/2006/relationships" ref="B355" r:id="rId326"/>
    <hyperlink xmlns:r="http://schemas.openxmlformats.org/officeDocument/2006/relationships" ref="B356" r:id="rId327"/>
    <hyperlink xmlns:r="http://schemas.openxmlformats.org/officeDocument/2006/relationships" ref="B357" r:id="rId328"/>
    <hyperlink xmlns:r="http://schemas.openxmlformats.org/officeDocument/2006/relationships" ref="B358" r:id="rId329"/>
    <hyperlink xmlns:r="http://schemas.openxmlformats.org/officeDocument/2006/relationships" ref="B359" r:id="rId330"/>
    <hyperlink xmlns:r="http://schemas.openxmlformats.org/officeDocument/2006/relationships" ref="B360" r:id="rId331"/>
    <hyperlink xmlns:r="http://schemas.openxmlformats.org/officeDocument/2006/relationships" ref="B361" r:id="rId332"/>
    <hyperlink xmlns:r="http://schemas.openxmlformats.org/officeDocument/2006/relationships" ref="B362" r:id="rId333"/>
    <hyperlink xmlns:r="http://schemas.openxmlformats.org/officeDocument/2006/relationships" ref="B363" r:id="rId334"/>
    <hyperlink xmlns:r="http://schemas.openxmlformats.org/officeDocument/2006/relationships" ref="B364" r:id="rId335"/>
    <hyperlink xmlns:r="http://schemas.openxmlformats.org/officeDocument/2006/relationships" ref="B366" r:id="rId336"/>
    <hyperlink xmlns:r="http://schemas.openxmlformats.org/officeDocument/2006/relationships" ref="B367" r:id="rId337"/>
    <hyperlink xmlns:r="http://schemas.openxmlformats.org/officeDocument/2006/relationships" ref="B368" r:id="rId338"/>
    <hyperlink xmlns:r="http://schemas.openxmlformats.org/officeDocument/2006/relationships" ref="B369" r:id="rId339"/>
    <hyperlink xmlns:r="http://schemas.openxmlformats.org/officeDocument/2006/relationships" ref="B370" r:id="rId340"/>
    <hyperlink xmlns:r="http://schemas.openxmlformats.org/officeDocument/2006/relationships" ref="B371" r:id="rId341"/>
    <hyperlink xmlns:r="http://schemas.openxmlformats.org/officeDocument/2006/relationships" ref="B372" r:id="rId342"/>
    <hyperlink xmlns:r="http://schemas.openxmlformats.org/officeDocument/2006/relationships" ref="B373" r:id="rId343"/>
    <hyperlink xmlns:r="http://schemas.openxmlformats.org/officeDocument/2006/relationships" ref="B374" r:id="rId344"/>
    <hyperlink xmlns:r="http://schemas.openxmlformats.org/officeDocument/2006/relationships" ref="B375" r:id="rId345"/>
    <hyperlink xmlns:r="http://schemas.openxmlformats.org/officeDocument/2006/relationships" ref="B376" r:id="rId346"/>
    <hyperlink xmlns:r="http://schemas.openxmlformats.org/officeDocument/2006/relationships" ref="B377" r:id="rId347"/>
    <hyperlink xmlns:r="http://schemas.openxmlformats.org/officeDocument/2006/relationships" ref="B378" r:id="rId348"/>
    <hyperlink xmlns:r="http://schemas.openxmlformats.org/officeDocument/2006/relationships" ref="B379" r:id="rId349"/>
    <hyperlink xmlns:r="http://schemas.openxmlformats.org/officeDocument/2006/relationships" ref="B380" r:id="rId350"/>
    <hyperlink xmlns:r="http://schemas.openxmlformats.org/officeDocument/2006/relationships" ref="B381" r:id="rId351"/>
    <hyperlink xmlns:r="http://schemas.openxmlformats.org/officeDocument/2006/relationships" ref="B382" r:id="rId352"/>
    <hyperlink xmlns:r="http://schemas.openxmlformats.org/officeDocument/2006/relationships" ref="B383" r:id="rId353"/>
    <hyperlink xmlns:r="http://schemas.openxmlformats.org/officeDocument/2006/relationships" ref="B384" r:id="rId354"/>
    <hyperlink xmlns:r="http://schemas.openxmlformats.org/officeDocument/2006/relationships" ref="B385" r:id="rId355"/>
    <hyperlink xmlns:r="http://schemas.openxmlformats.org/officeDocument/2006/relationships" ref="B386" r:id="rId356"/>
    <hyperlink xmlns:r="http://schemas.openxmlformats.org/officeDocument/2006/relationships" ref="B387" r:id="rId357"/>
    <hyperlink xmlns:r="http://schemas.openxmlformats.org/officeDocument/2006/relationships" ref="B388" r:id="rId358"/>
    <hyperlink xmlns:r="http://schemas.openxmlformats.org/officeDocument/2006/relationships" ref="B389" r:id="rId359"/>
    <hyperlink xmlns:r="http://schemas.openxmlformats.org/officeDocument/2006/relationships" ref="B390" r:id="rId360"/>
    <hyperlink xmlns:r="http://schemas.openxmlformats.org/officeDocument/2006/relationships" ref="B391" r:id="rId361"/>
    <hyperlink xmlns:r="http://schemas.openxmlformats.org/officeDocument/2006/relationships" ref="B392" r:id="rId362"/>
    <hyperlink xmlns:r="http://schemas.openxmlformats.org/officeDocument/2006/relationships" ref="B393" r:id="rId363"/>
    <hyperlink xmlns:r="http://schemas.openxmlformats.org/officeDocument/2006/relationships" ref="B394" r:id="rId364"/>
    <hyperlink xmlns:r="http://schemas.openxmlformats.org/officeDocument/2006/relationships" ref="B396" r:id="rId365"/>
    <hyperlink xmlns:r="http://schemas.openxmlformats.org/officeDocument/2006/relationships" ref="B397" r:id="rId366"/>
    <hyperlink xmlns:r="http://schemas.openxmlformats.org/officeDocument/2006/relationships" ref="B399" r:id="rId367"/>
    <hyperlink xmlns:r="http://schemas.openxmlformats.org/officeDocument/2006/relationships" ref="B400" r:id="rId368"/>
    <hyperlink xmlns:r="http://schemas.openxmlformats.org/officeDocument/2006/relationships" ref="B401" r:id="rId369"/>
    <hyperlink xmlns:r="http://schemas.openxmlformats.org/officeDocument/2006/relationships" ref="B403" r:id="rId370"/>
    <hyperlink xmlns:r="http://schemas.openxmlformats.org/officeDocument/2006/relationships" ref="B404" r:id="rId371"/>
    <hyperlink xmlns:r="http://schemas.openxmlformats.org/officeDocument/2006/relationships" ref="B405" r:id="rId372"/>
    <hyperlink xmlns:r="http://schemas.openxmlformats.org/officeDocument/2006/relationships" ref="B406" r:id="rId373"/>
    <hyperlink xmlns:r="http://schemas.openxmlformats.org/officeDocument/2006/relationships" ref="B407" r:id="rId374"/>
    <hyperlink xmlns:r="http://schemas.openxmlformats.org/officeDocument/2006/relationships" ref="B408" r:id="rId375"/>
    <hyperlink xmlns:r="http://schemas.openxmlformats.org/officeDocument/2006/relationships" ref="B410" r:id="rId376"/>
    <hyperlink xmlns:r="http://schemas.openxmlformats.org/officeDocument/2006/relationships" ref="B412" r:id="rId377"/>
    <hyperlink xmlns:r="http://schemas.openxmlformats.org/officeDocument/2006/relationships" ref="B413" r:id="rId378"/>
    <hyperlink xmlns:r="http://schemas.openxmlformats.org/officeDocument/2006/relationships" ref="B414" r:id="rId379"/>
    <hyperlink xmlns:r="http://schemas.openxmlformats.org/officeDocument/2006/relationships" ref="B415" r:id="rId380"/>
    <hyperlink xmlns:r="http://schemas.openxmlformats.org/officeDocument/2006/relationships" ref="B416" r:id="rId381"/>
    <hyperlink xmlns:r="http://schemas.openxmlformats.org/officeDocument/2006/relationships" ref="B417" r:id="rId382"/>
    <hyperlink xmlns:r="http://schemas.openxmlformats.org/officeDocument/2006/relationships" ref="B418" r:id="rId383"/>
    <hyperlink xmlns:r="http://schemas.openxmlformats.org/officeDocument/2006/relationships" ref="B419" r:id="rId384"/>
    <hyperlink xmlns:r="http://schemas.openxmlformats.org/officeDocument/2006/relationships" ref="B420" r:id="rId385"/>
    <hyperlink xmlns:r="http://schemas.openxmlformats.org/officeDocument/2006/relationships" ref="B421" r:id="rId386"/>
    <hyperlink xmlns:r="http://schemas.openxmlformats.org/officeDocument/2006/relationships" ref="B422" r:id="rId387"/>
    <hyperlink xmlns:r="http://schemas.openxmlformats.org/officeDocument/2006/relationships" ref="B423" r:id="rId388"/>
    <hyperlink xmlns:r="http://schemas.openxmlformats.org/officeDocument/2006/relationships" ref="B424" r:id="rId389"/>
    <hyperlink xmlns:r="http://schemas.openxmlformats.org/officeDocument/2006/relationships" ref="B425" r:id="rId390"/>
    <hyperlink xmlns:r="http://schemas.openxmlformats.org/officeDocument/2006/relationships" ref="B426" r:id="rId391"/>
    <hyperlink xmlns:r="http://schemas.openxmlformats.org/officeDocument/2006/relationships" ref="B427" r:id="rId392"/>
    <hyperlink xmlns:r="http://schemas.openxmlformats.org/officeDocument/2006/relationships" ref="B428" r:id="rId393"/>
    <hyperlink xmlns:r="http://schemas.openxmlformats.org/officeDocument/2006/relationships" ref="B429" r:id="rId394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J1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201" min="1" max="1"/>
    <col width="36" customWidth="1" style="201" min="2" max="2"/>
    <col width="16.38" customWidth="1" style="201" min="3" max="3"/>
    <col width="17.88" customWidth="1" style="201" min="4" max="4"/>
    <col width="69.88" customWidth="1" style="201" min="5" max="5"/>
  </cols>
  <sheetData>
    <row r="1" ht="101.25" customHeight="1" s="201">
      <c r="A1" s="1" t="inlineStr">
        <is>
          <t>Прайс обновлён 28.10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sales@mrvg.ru</t>
        </is>
      </c>
      <c r="I1" s="79" t="n"/>
      <c r="J1" s="79" t="n"/>
    </row>
    <row r="2">
      <c r="A2" s="5" t="inlineStr">
        <is>
          <t>Наименование пивоварни</t>
        </is>
      </c>
      <c r="B2" s="108" t="inlineStr">
        <is>
          <t>Наименование</t>
        </is>
      </c>
      <c r="C2" s="8" t="inlineStr">
        <is>
          <t>Стиль</t>
        </is>
      </c>
      <c r="D2" s="8" t="inlineStr">
        <is>
          <t>ABV / OG / IBU</t>
        </is>
      </c>
      <c r="E2" s="10" t="inlineStr">
        <is>
          <t>Описание</t>
        </is>
      </c>
      <c r="F2" s="10" t="inlineStr">
        <is>
          <t>Литраж</t>
        </is>
      </c>
      <c r="G2" s="108" t="inlineStr">
        <is>
          <t>Цена за литр</t>
        </is>
      </c>
      <c r="H2" s="108" t="inlineStr">
        <is>
          <t>Наличие</t>
        </is>
      </c>
      <c r="I2" s="108" t="inlineStr">
        <is>
          <t>Заказ</t>
        </is>
      </c>
      <c r="J2" s="108" t="inlineStr">
        <is>
          <t>Цена</t>
        </is>
      </c>
    </row>
    <row r="3" hidden="1" s="201">
      <c r="A3" s="144" t="inlineStr">
        <is>
          <t>Коломенская Пивоварня г. Коломна</t>
        </is>
      </c>
      <c r="B3" s="202" t="n"/>
      <c r="C3" s="202" t="n"/>
      <c r="D3" s="202" t="n"/>
      <c r="E3" s="202" t="n"/>
      <c r="F3" s="202" t="n"/>
      <c r="G3" s="202" t="n"/>
      <c r="H3" s="203" t="n"/>
      <c r="I3" s="127" t="n">
        <v>0</v>
      </c>
      <c r="J3" s="127">
        <f>PRODUCT(G3,I3)</f>
        <v/>
      </c>
    </row>
    <row r="4" hidden="1" s="201">
      <c r="A4" s="196" t="inlineStr">
        <is>
          <t>Коломенская Пивоварня</t>
        </is>
      </c>
      <c r="B4" s="26" t="inlineStr">
        <is>
          <t>Алтайские Традиции / Weissbier</t>
        </is>
      </c>
      <c r="C4" s="18" t="inlineStr">
        <is>
          <t>Hefeweizen</t>
        </is>
      </c>
      <c r="D4" s="116" t="inlineStr">
        <is>
          <t>4,7 / - / -</t>
        </is>
      </c>
      <c r="E4" s="98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86" t="n">
        <v>30</v>
      </c>
      <c r="G4" s="92" t="n">
        <v>149</v>
      </c>
      <c r="H4" s="127" t="inlineStr">
        <is>
          <t>новинка</t>
        </is>
      </c>
      <c r="I4" s="127" t="n">
        <v>0</v>
      </c>
      <c r="J4" s="127">
        <f>PRODUCT(PRODUCT(F4:G4),I4)</f>
        <v/>
      </c>
    </row>
    <row r="5" hidden="1" s="201">
      <c r="A5" s="196" t="inlineStr">
        <is>
          <t>Коломенская Пивоварня</t>
        </is>
      </c>
      <c r="B5" s="26" t="inlineStr">
        <is>
          <t>Белое</t>
        </is>
      </c>
      <c r="C5" s="18" t="inlineStr">
        <is>
          <t>Wheat Beer</t>
        </is>
      </c>
      <c r="D5" s="116" t="inlineStr">
        <is>
          <t>4,7 / 13 / -</t>
        </is>
      </c>
      <c r="E5" s="98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86" t="n">
        <v>30</v>
      </c>
      <c r="G5" s="92" t="n">
        <v>135</v>
      </c>
      <c r="H5" s="127" t="inlineStr">
        <is>
          <t>новинка</t>
        </is>
      </c>
      <c r="I5" s="127" t="n">
        <v>0</v>
      </c>
      <c r="J5" s="127">
        <f>PRODUCT(PRODUCT(F5:G5),I5)</f>
        <v/>
      </c>
    </row>
    <row r="6" hidden="1" s="201">
      <c r="A6" s="196" t="inlineStr">
        <is>
          <t>Коломенская Пивоварня</t>
        </is>
      </c>
      <c r="B6" s="26" t="inlineStr">
        <is>
          <t>Спецварка</t>
        </is>
      </c>
      <c r="C6" s="18" t="inlineStr">
        <is>
          <t>Lager</t>
        </is>
      </c>
      <c r="D6" s="116" t="inlineStr">
        <is>
          <t>4 / 10 / 9</t>
        </is>
      </c>
      <c r="E6" s="98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86" t="n">
        <v>30</v>
      </c>
      <c r="G6" s="92" t="n">
        <v>119</v>
      </c>
      <c r="H6" s="127" t="inlineStr">
        <is>
          <t>новинка</t>
        </is>
      </c>
      <c r="I6" s="127" t="n">
        <v>0</v>
      </c>
      <c r="J6" s="127">
        <f>PRODUCT(PRODUCT(F6:G6),I6)</f>
        <v/>
      </c>
    </row>
    <row r="7" hidden="1" s="201">
      <c r="A7" s="196" t="inlineStr">
        <is>
          <t>Коломенская Пивоварня</t>
        </is>
      </c>
      <c r="B7" s="32" t="inlineStr">
        <is>
          <t>Starovar APA</t>
        </is>
      </c>
      <c r="C7" s="18" t="inlineStr">
        <is>
          <t>APA</t>
        </is>
      </c>
      <c r="D7" s="116" t="inlineStr">
        <is>
          <t>5,1 / 12 / 27</t>
        </is>
      </c>
      <c r="E7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86" t="n">
        <v>20</v>
      </c>
      <c r="G7" s="92" t="n">
        <v>189</v>
      </c>
      <c r="H7" s="127" t="inlineStr">
        <is>
          <t>новинка</t>
        </is>
      </c>
      <c r="I7" s="127" t="n">
        <v>0</v>
      </c>
      <c r="J7" s="127">
        <f>PRODUCT(PRODUCT(F7:G7),I7)</f>
        <v/>
      </c>
    </row>
    <row r="8" hidden="1" s="201">
      <c r="A8" s="196" t="inlineStr">
        <is>
          <t>Коломенская Пивоварня</t>
        </is>
      </c>
      <c r="B8" s="30" t="inlineStr">
        <is>
          <t>Starovar Black Velvet</t>
        </is>
      </c>
      <c r="C8" s="18" t="inlineStr">
        <is>
          <t>Dark Lager</t>
        </is>
      </c>
      <c r="D8" s="116" t="inlineStr">
        <is>
          <t>5,8 / 15 / -</t>
        </is>
      </c>
      <c r="E8" s="82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86" t="n">
        <v>30</v>
      </c>
      <c r="G8" s="92" t="n">
        <v>159</v>
      </c>
      <c r="H8" s="127" t="inlineStr">
        <is>
          <t>новинка</t>
        </is>
      </c>
      <c r="I8" s="127" t="n">
        <v>0</v>
      </c>
      <c r="J8" s="127">
        <f>PRODUCT(PRODUCT(F8:G8),I8)</f>
        <v/>
      </c>
    </row>
    <row r="9" hidden="1" s="201">
      <c r="A9" s="196" t="inlineStr">
        <is>
          <t>Коломенская Пивоварня</t>
        </is>
      </c>
      <c r="B9" s="32" t="inlineStr">
        <is>
          <t>Starovar IPA</t>
        </is>
      </c>
      <c r="C9" s="18" t="inlineStr">
        <is>
          <t>IPA</t>
        </is>
      </c>
      <c r="D9" s="116" t="inlineStr">
        <is>
          <t>6,5 / 16,5 / 37</t>
        </is>
      </c>
      <c r="E9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86" t="n">
        <v>20</v>
      </c>
      <c r="G9" s="92" t="n">
        <v>205</v>
      </c>
      <c r="H9" s="127" t="inlineStr">
        <is>
          <t>новинка</t>
        </is>
      </c>
      <c r="I9" s="127" t="n">
        <v>0</v>
      </c>
      <c r="J9" s="127">
        <f>PRODUCT(PRODUCT(F9:G9),I9)</f>
        <v/>
      </c>
    </row>
    <row r="10" hidden="1" s="201">
      <c r="A10" s="196" t="inlineStr">
        <is>
          <t>Коломенская Пивоварня</t>
        </is>
      </c>
      <c r="B10" s="32" t="inlineStr">
        <is>
          <t>Starovar Munchen Helles</t>
        </is>
      </c>
      <c r="C10" s="18" t="inlineStr">
        <is>
          <t>Helles</t>
        </is>
      </c>
      <c r="D10" s="116" t="inlineStr">
        <is>
          <t>4,9 / 12 / 15</t>
        </is>
      </c>
      <c r="E10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86" t="n">
        <v>30</v>
      </c>
      <c r="G10" s="92" t="n">
        <v>149</v>
      </c>
      <c r="H10" s="127" t="inlineStr">
        <is>
          <t>новинка</t>
        </is>
      </c>
      <c r="I10" s="127" t="n">
        <v>0</v>
      </c>
      <c r="J10" s="127">
        <f>PRODUCT(PRODUCT(F10:G10),I10)</f>
        <v/>
      </c>
    </row>
    <row r="11">
      <c r="A11" s="196" t="inlineStr">
        <is>
          <t>Коломенская Пивоварня</t>
        </is>
      </c>
      <c r="B11" s="26" t="inlineStr">
        <is>
          <t>Starovar Non Alco</t>
        </is>
      </c>
      <c r="C11" s="18" t="inlineStr">
        <is>
          <t>No Alco Lager</t>
        </is>
      </c>
      <c r="D11" s="116" t="inlineStr">
        <is>
          <t>- / - / 15</t>
        </is>
      </c>
      <c r="E11" s="98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86" t="n">
        <v>30</v>
      </c>
      <c r="G11" s="92" t="n">
        <v>119</v>
      </c>
      <c r="H11" s="127" t="inlineStr">
        <is>
          <t>новинка</t>
        </is>
      </c>
      <c r="I11" s="127" t="n">
        <v>0</v>
      </c>
      <c r="J11" s="127">
        <f>PRODUCT(PRODUCT(F11:G11),I11)</f>
        <v/>
      </c>
    </row>
    <row r="12" hidden="1" s="201">
      <c r="A12" s="144" t="inlineStr">
        <is>
          <t>МедА Сибири г. Томск</t>
        </is>
      </c>
      <c r="B12" s="202" t="n"/>
      <c r="C12" s="202" t="n"/>
      <c r="D12" s="202" t="n"/>
      <c r="E12" s="202" t="n"/>
      <c r="F12" s="202" t="n"/>
      <c r="G12" s="202" t="n"/>
      <c r="H12" s="203" t="n"/>
      <c r="I12" s="144" t="n">
        <v>0</v>
      </c>
      <c r="J12" s="144" t="n"/>
    </row>
    <row r="13" hidden="1" s="201">
      <c r="A13" s="174" t="inlineStr">
        <is>
          <t>МедА Сибири</t>
        </is>
      </c>
      <c r="B13" s="32" t="inlineStr">
        <is>
          <t>Mead Cherry</t>
        </is>
      </c>
      <c r="C13" s="18" t="inlineStr">
        <is>
          <t>Mead</t>
        </is>
      </c>
      <c r="D13" s="116" t="inlineStr">
        <is>
          <t xml:space="preserve">6 / - / - </t>
        </is>
      </c>
      <c r="E13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86" t="n">
        <v>30</v>
      </c>
      <c r="G13" s="92" t="n">
        <v>345</v>
      </c>
      <c r="H13" s="92" t="inlineStr">
        <is>
          <t>много</t>
        </is>
      </c>
      <c r="I13" s="127" t="n">
        <v>0</v>
      </c>
      <c r="J13" s="127">
        <f>PRODUCT(PRODUCT(F13:G13),I13)</f>
        <v/>
      </c>
    </row>
    <row r="14" hidden="1" s="201">
      <c r="A14" s="174" t="inlineStr">
        <is>
          <t>МедА Сибири</t>
        </is>
      </c>
      <c r="B14" s="32" t="inlineStr">
        <is>
          <t>Mead Honeysuckle</t>
        </is>
      </c>
      <c r="C14" s="18" t="inlineStr">
        <is>
          <t>Mead</t>
        </is>
      </c>
      <c r="D14" s="116" t="inlineStr">
        <is>
          <t xml:space="preserve">6 / - / - </t>
        </is>
      </c>
      <c r="E14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86" t="n">
        <v>30</v>
      </c>
      <c r="G14" s="92" t="n">
        <v>345</v>
      </c>
      <c r="H14" s="92" t="inlineStr">
        <is>
          <t>много</t>
        </is>
      </c>
      <c r="I14" s="127" t="n">
        <v>0</v>
      </c>
      <c r="J14" s="127">
        <f>PRODUCT(PRODUCT(F14:G14),I14)</f>
        <v/>
      </c>
    </row>
    <row r="15" hidden="1" s="201">
      <c r="A15" s="174" t="inlineStr">
        <is>
          <t>МедА Сибири</t>
        </is>
      </c>
      <c r="B15" s="32" t="inlineStr">
        <is>
          <t>Mead Traditional</t>
        </is>
      </c>
      <c r="C15" s="18" t="inlineStr">
        <is>
          <t>Mead</t>
        </is>
      </c>
      <c r="D15" s="75" t="inlineStr">
        <is>
          <t>5 / - / -</t>
        </is>
      </c>
      <c r="E15" s="98" t="inlineStr">
        <is>
          <t>Таёжный мёд, вода и винные дрожжи. В меру сладкая классика в лучшем своём проявлении.</t>
        </is>
      </c>
      <c r="F15" s="86" t="n">
        <v>30</v>
      </c>
      <c r="G15" s="92" t="n">
        <v>245</v>
      </c>
      <c r="H15" s="92" t="inlineStr">
        <is>
          <t>много</t>
        </is>
      </c>
      <c r="I15" s="127" t="n">
        <v>0</v>
      </c>
      <c r="J15" s="127">
        <f>PRODUCT(PRODUCT(F15:G15),I15)</f>
        <v/>
      </c>
    </row>
    <row r="16" hidden="1" s="201">
      <c r="A16" s="144" t="inlineStr">
        <is>
          <t>Одна Тонна г. Жуковский</t>
        </is>
      </c>
      <c r="B16" s="202" t="n"/>
      <c r="C16" s="202" t="n"/>
      <c r="D16" s="202" t="n"/>
      <c r="E16" s="202" t="n"/>
      <c r="F16" s="202" t="n"/>
      <c r="G16" s="202" t="n"/>
      <c r="H16" s="203" t="n"/>
      <c r="I16" s="144" t="n">
        <v>0</v>
      </c>
      <c r="J16" s="144" t="n"/>
    </row>
    <row r="17" hidden="1" s="201">
      <c r="A17" s="192" t="inlineStr">
        <is>
          <t>Одна Тонна</t>
        </is>
      </c>
      <c r="B17" s="31" t="inlineStr">
        <is>
          <t>Авиатор</t>
        </is>
      </c>
      <c r="C17" s="18" t="inlineStr">
        <is>
          <t>Lager</t>
        </is>
      </c>
      <c r="D17" s="86" t="inlineStr">
        <is>
          <t xml:space="preserve">5 / 12,5 / - </t>
        </is>
      </c>
      <c r="E17" s="42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6" t="n">
        <v>30</v>
      </c>
      <c r="G17" s="49" t="n">
        <v>199</v>
      </c>
      <c r="H17" s="146" t="n">
        <v>1</v>
      </c>
      <c r="I17" s="127" t="n">
        <v>0</v>
      </c>
      <c r="J17" s="127">
        <f>PRODUCT(PRODUCT(F17:G17),I17)</f>
        <v/>
      </c>
    </row>
    <row r="18" hidden="1" s="201">
      <c r="A18" s="192" t="inlineStr">
        <is>
          <t>Одна Тонна</t>
        </is>
      </c>
      <c r="B18" s="31" t="inlineStr">
        <is>
          <t>Отличный Урожай</t>
        </is>
      </c>
      <c r="C18" s="86" t="inlineStr">
        <is>
          <t>IPA</t>
        </is>
      </c>
      <c r="D18" s="86" t="inlineStr">
        <is>
          <t>6 / 16 / 75</t>
        </is>
      </c>
      <c r="E18" s="60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6" t="n">
        <v>30</v>
      </c>
      <c r="G18" s="49" t="n">
        <v>259</v>
      </c>
      <c r="H18" s="147" t="inlineStr">
        <is>
          <t>много</t>
        </is>
      </c>
      <c r="I18" s="127" t="n">
        <v>0</v>
      </c>
      <c r="J18" s="127">
        <f>PRODUCT(PRODUCT(F18:G18),I18)</f>
        <v/>
      </c>
    </row>
    <row r="19">
      <c r="A19" s="192" t="inlineStr">
        <is>
          <t>Одна Тонна</t>
        </is>
      </c>
      <c r="B19" s="17" t="inlineStr">
        <is>
          <t>Пилснер</t>
        </is>
      </c>
      <c r="C19" s="18" t="inlineStr">
        <is>
          <t>Lager</t>
        </is>
      </c>
      <c r="D19" s="86" t="inlineStr">
        <is>
          <t>4,5 / 12 / 25</t>
        </is>
      </c>
      <c r="E19" s="42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6" t="n">
        <v>30</v>
      </c>
      <c r="G19" s="49" t="n">
        <v>189</v>
      </c>
      <c r="H19" s="147" t="inlineStr">
        <is>
          <t>много</t>
        </is>
      </c>
      <c r="I19" s="127" t="n">
        <v>0</v>
      </c>
      <c r="J19" s="127">
        <f>PRODUCT(PRODUCT(F19:G19),I19)</f>
        <v/>
      </c>
    </row>
    <row r="20" hidden="1" s="201">
      <c r="A20" s="192" t="inlineStr">
        <is>
          <t>Одна Тонна</t>
        </is>
      </c>
      <c r="B20" s="31" t="inlineStr">
        <is>
          <t>Рыжая Соня</t>
        </is>
      </c>
      <c r="C20" s="112" t="inlineStr">
        <is>
          <t>IPA</t>
        </is>
      </c>
      <c r="D20" s="112" t="inlineStr">
        <is>
          <t>6,2 / 16 / 54</t>
        </is>
      </c>
      <c r="E20" s="42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6" t="n">
        <v>30</v>
      </c>
      <c r="G20" s="49" t="n">
        <v>269</v>
      </c>
      <c r="H20" s="146" t="n">
        <v>1</v>
      </c>
      <c r="I20" s="127" t="n">
        <v>0</v>
      </c>
      <c r="J20" s="127">
        <f>PRODUCT(PRODUCT(F20:G20),I20)</f>
        <v/>
      </c>
    </row>
    <row r="21" hidden="1" s="201">
      <c r="A21" s="192" t="inlineStr">
        <is>
          <t>Одна Тонна</t>
        </is>
      </c>
      <c r="B21" s="30" t="inlineStr">
        <is>
          <t>Селестиал: HBC-638+Chinook+Azacca</t>
        </is>
      </c>
      <c r="C21" s="41" t="inlineStr">
        <is>
          <t>IPA</t>
        </is>
      </c>
      <c r="D21" s="41" t="inlineStr">
        <is>
          <t>6 / 16,5 / -</t>
        </is>
      </c>
      <c r="E21" s="42" t="inlineStr">
        <is>
          <t>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 HBC-638, Chinook и Azacca.</t>
        </is>
      </c>
      <c r="F21" s="116" t="n">
        <v>30</v>
      </c>
      <c r="G21" s="49" t="n">
        <v>345</v>
      </c>
      <c r="H21" s="127" t="inlineStr">
        <is>
          <t>новинка</t>
        </is>
      </c>
      <c r="I21" s="127" t="n">
        <v>0</v>
      </c>
      <c r="J21" s="127">
        <f>PRODUCT(PRODUCT(F21:G21),I21)</f>
        <v/>
      </c>
    </row>
    <row r="22" hidden="1" s="201">
      <c r="A22" s="192" t="inlineStr">
        <is>
          <t>Одна Тонна</t>
        </is>
      </c>
      <c r="B22" s="30" t="inlineStr">
        <is>
          <t>Селестиал: Strata+Citra+Mosaic</t>
        </is>
      </c>
      <c r="C22" s="41" t="inlineStr">
        <is>
          <t>IPA</t>
        </is>
      </c>
      <c r="D22" s="41" t="inlineStr">
        <is>
          <t>6 / 16,5 / -</t>
        </is>
      </c>
      <c r="E22" s="42" t="inlineStr">
        <is>
          <t>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Mosaic.</t>
        </is>
      </c>
      <c r="F22" s="116" t="n">
        <v>30</v>
      </c>
      <c r="G22" s="49" t="n">
        <v>345</v>
      </c>
      <c r="H22" s="92" t="inlineStr">
        <is>
          <t>много</t>
        </is>
      </c>
      <c r="I22" s="127" t="n">
        <v>0</v>
      </c>
      <c r="J22" s="127">
        <f>PRODUCT(PRODUCT(F22:G22),I22)</f>
        <v/>
      </c>
    </row>
    <row r="23" hidden="1" s="201">
      <c r="A23" s="192" t="inlineStr">
        <is>
          <t>Одна Тонна</t>
        </is>
      </c>
      <c r="B23" s="30" t="inlineStr">
        <is>
          <t>Утро Туманное</t>
        </is>
      </c>
      <c r="C23" s="41" t="inlineStr">
        <is>
          <t>NE IPA</t>
        </is>
      </c>
      <c r="D23" s="41" t="inlineStr">
        <is>
          <t>6 / 16,5 / -</t>
        </is>
      </c>
      <c r="E23" s="42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3" s="116" t="n">
        <v>30</v>
      </c>
      <c r="G23" s="49" t="n">
        <v>345</v>
      </c>
      <c r="H23" s="92" t="inlineStr">
        <is>
          <t>много</t>
        </is>
      </c>
      <c r="I23" s="127" t="n">
        <v>0</v>
      </c>
      <c r="J23" s="127">
        <f>PRODUCT(PRODUCT(F23:G23),I23)</f>
        <v/>
      </c>
    </row>
    <row r="24" hidden="1" s="201">
      <c r="A24" s="192" t="inlineStr">
        <is>
          <t>Одна Тонна</t>
        </is>
      </c>
      <c r="B24" s="31" t="inlineStr">
        <is>
          <t>Хеллес</t>
        </is>
      </c>
      <c r="C24" s="18" t="inlineStr">
        <is>
          <t>Lager</t>
        </is>
      </c>
      <c r="D24" s="86" t="inlineStr">
        <is>
          <t>4,5 / 11,5 / 19</t>
        </is>
      </c>
      <c r="E24" s="42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4" s="116" t="n">
        <v>30</v>
      </c>
      <c r="G24" s="49" t="n">
        <v>189</v>
      </c>
      <c r="H24" s="92" t="inlineStr">
        <is>
          <t>много</t>
        </is>
      </c>
      <c r="I24" s="127" t="n">
        <v>0</v>
      </c>
      <c r="J24" s="127">
        <f>PRODUCT(PRODUCT(F24:G24),I24)</f>
        <v/>
      </c>
    </row>
    <row r="25" hidden="1" s="201">
      <c r="A25" s="192" t="inlineStr">
        <is>
          <t>Одна Тонна</t>
        </is>
      </c>
      <c r="B25" s="31" t="inlineStr">
        <is>
          <t>Choco Mammuth</t>
        </is>
      </c>
      <c r="C25" s="41" t="inlineStr">
        <is>
          <t>Imperial Stout</t>
        </is>
      </c>
      <c r="D25" s="112" t="inlineStr">
        <is>
          <t>10 / 25 / 14</t>
        </is>
      </c>
      <c r="E25" s="42" t="inlineStr">
        <is>
          <t>Запредельно мощный, молочно-шоколадный стаут. Сварен с какао бобами.</t>
        </is>
      </c>
      <c r="F25" s="116" t="n">
        <v>30</v>
      </c>
      <c r="G25" s="49" t="n">
        <v>345</v>
      </c>
      <c r="H25" s="92" t="inlineStr">
        <is>
          <t>много</t>
        </is>
      </c>
      <c r="I25" s="127" t="n">
        <v>0</v>
      </c>
      <c r="J25" s="127">
        <f>PRODUCT(PRODUCT(F25:G25),I25)</f>
        <v/>
      </c>
    </row>
    <row r="26" hidden="1" s="201">
      <c r="A26" s="192" t="inlineStr">
        <is>
          <t>Одна Тонна</t>
        </is>
      </c>
      <c r="B26" s="31" t="inlineStr">
        <is>
          <t>Mr. Golding</t>
        </is>
      </c>
      <c r="C26" s="18" t="inlineStr">
        <is>
          <t>Porter</t>
        </is>
      </c>
      <c r="D26" s="86" t="inlineStr">
        <is>
          <t>6 / 18 / -</t>
        </is>
      </c>
      <c r="E26" s="42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26" s="116" t="n">
        <v>30</v>
      </c>
      <c r="G26" s="49" t="n">
        <v>229</v>
      </c>
      <c r="H26" s="76" t="n">
        <v>1</v>
      </c>
      <c r="I26" s="127" t="n">
        <v>0</v>
      </c>
      <c r="J26" s="127">
        <f>PRODUCT(PRODUCT(F26:G26),I26)</f>
        <v/>
      </c>
    </row>
    <row r="27" hidden="1" s="201">
      <c r="A27" s="192" t="inlineStr">
        <is>
          <t>Одна Тонна</t>
        </is>
      </c>
      <c r="B27" s="30" t="inlineStr">
        <is>
          <t>Mr. O'Vsyanka / Мистер О`всянка</t>
        </is>
      </c>
      <c r="C27" s="41" t="inlineStr">
        <is>
          <t>Oatmeal Stout</t>
        </is>
      </c>
      <c r="D27" s="41" t="inlineStr">
        <is>
          <t>6 / - / -</t>
        </is>
      </c>
      <c r="E27" s="42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7" s="116" t="n">
        <v>30</v>
      </c>
      <c r="G27" s="49" t="n">
        <v>219</v>
      </c>
      <c r="H27" s="92" t="inlineStr">
        <is>
          <t>много</t>
        </is>
      </c>
      <c r="I27" s="127" t="n">
        <v>0</v>
      </c>
      <c r="J27" s="127">
        <f>PRODUCT(PRODUCT(F27:G27),I27)</f>
        <v/>
      </c>
    </row>
    <row r="28" hidden="1" s="201">
      <c r="A28" s="192" t="inlineStr">
        <is>
          <t>Одна Тонна</t>
        </is>
      </c>
      <c r="B28" s="30" t="inlineStr">
        <is>
          <t>Schukowski Pils / Жуковский Пилс</t>
        </is>
      </c>
      <c r="C28" s="41" t="inlineStr">
        <is>
          <t>Pils</t>
        </is>
      </c>
      <c r="D28" s="41" t="inlineStr">
        <is>
          <t xml:space="preserve">4,6 / - / - </t>
        </is>
      </c>
      <c r="E28" s="42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8" s="116" t="n">
        <v>30</v>
      </c>
      <c r="G28" s="49" t="n">
        <v>235</v>
      </c>
      <c r="H28" s="76" t="n">
        <v>1</v>
      </c>
      <c r="I28" s="127" t="n">
        <v>0</v>
      </c>
      <c r="J28" s="127">
        <f>PRODUCT(PRODUCT(F28:G28),I28)</f>
        <v/>
      </c>
    </row>
    <row r="29" hidden="1" s="201">
      <c r="A29" s="144" t="inlineStr">
        <is>
          <t>Сидродельня Леонида Леврана г. Изборск</t>
        </is>
      </c>
      <c r="B29" s="202" t="n"/>
      <c r="C29" s="202" t="n"/>
      <c r="D29" s="202" t="n"/>
      <c r="E29" s="202" t="n"/>
      <c r="F29" s="202" t="n"/>
      <c r="G29" s="202" t="n"/>
      <c r="H29" s="203" t="n"/>
      <c r="I29" s="144" t="n">
        <v>0</v>
      </c>
      <c r="J29" s="144" t="n"/>
    </row>
    <row r="30" hidden="1" s="201">
      <c r="A30" s="148" t="inlineStr">
        <is>
          <t>Сидродельня Леонида Леврана</t>
        </is>
      </c>
      <c r="B30" s="30" t="inlineStr">
        <is>
          <t>Сидр Сухой Старый Изборск</t>
        </is>
      </c>
      <c r="C30" s="18" t="inlineStr">
        <is>
          <t>Cider</t>
        </is>
      </c>
      <c r="D30" s="116" t="inlineStr">
        <is>
          <t>5,5 / - / -</t>
        </is>
      </c>
      <c r="E30" s="82" t="inlineStr">
        <is>
          <t>Старый Изборск — базовый и чистый, с яркой яблочной кислотностью и лёгкой мягкостью.</t>
        </is>
      </c>
      <c r="F30" s="86" t="n">
        <v>20</v>
      </c>
      <c r="G30" s="92" t="n">
        <v>345</v>
      </c>
      <c r="H30" s="92" t="inlineStr">
        <is>
          <t>много</t>
        </is>
      </c>
      <c r="I30" s="127" t="n">
        <v>0</v>
      </c>
      <c r="J30" s="127">
        <f>PRODUCT(PRODUCT(F30:G30),I30)</f>
        <v/>
      </c>
    </row>
    <row r="31" hidden="1" s="201">
      <c r="A31" s="148" t="inlineStr">
        <is>
          <t>Сидродельня Леонида Леврана</t>
        </is>
      </c>
      <c r="B31" s="30" t="inlineStr">
        <is>
          <t>Сидр Полусухой Псковский Терруар</t>
        </is>
      </c>
      <c r="C31" s="18" t="inlineStr">
        <is>
          <t>Cider</t>
        </is>
      </c>
      <c r="D31" s="116" t="inlineStr">
        <is>
          <t>5,5 / - / -</t>
        </is>
      </c>
      <c r="E31" s="82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86" t="n">
        <v>20</v>
      </c>
      <c r="G31" s="92" t="n">
        <v>349</v>
      </c>
      <c r="H31" s="92" t="inlineStr">
        <is>
          <t>много</t>
        </is>
      </c>
      <c r="I31" s="127" t="n">
        <v>0</v>
      </c>
      <c r="J31" s="127">
        <f>PRODUCT(PRODUCT(F31:G31),I31)</f>
        <v/>
      </c>
    </row>
    <row r="32" hidden="1" s="201">
      <c r="A32" s="148" t="inlineStr">
        <is>
          <t>Сидродельня Леонида Леврана</t>
        </is>
      </c>
      <c r="B32" s="30" t="inlineStr">
        <is>
          <t>Сидр Полусладкий 862</t>
        </is>
      </c>
      <c r="C32" s="18" t="inlineStr">
        <is>
          <t>Cider</t>
        </is>
      </c>
      <c r="D32" s="116" t="inlineStr">
        <is>
          <t>5,5 / - / -</t>
        </is>
      </c>
      <c r="E32" s="82" t="inlineStr">
        <is>
          <t>862 — Десертный сидр. Яркая ароматика бисквита, насыщенный вкус печёных яблок.</t>
        </is>
      </c>
      <c r="F32" s="86" t="n">
        <v>20</v>
      </c>
      <c r="G32" s="92" t="n">
        <v>365</v>
      </c>
      <c r="H32" s="92" t="inlineStr">
        <is>
          <t>много</t>
        </is>
      </c>
      <c r="I32" s="127" t="n">
        <v>0</v>
      </c>
      <c r="J32" s="127">
        <f>PRODUCT(PRODUCT(F32:G32),I32)</f>
        <v/>
      </c>
    </row>
    <row r="33" hidden="1" s="201">
      <c r="A33" s="148" t="inlineStr">
        <is>
          <t>Сидродельня Леонида Леврана</t>
        </is>
      </c>
      <c r="B33" s="32" t="inlineStr">
        <is>
          <t>Сидр Полусухой Hop Me</t>
        </is>
      </c>
      <c r="C33" s="18" t="inlineStr">
        <is>
          <t>Cider</t>
        </is>
      </c>
      <c r="D33" s="116" t="inlineStr">
        <is>
          <t>5,5 / - / -</t>
        </is>
      </c>
      <c r="E33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86" t="n">
        <v>20</v>
      </c>
      <c r="G33" s="92" t="n">
        <v>369</v>
      </c>
      <c r="H33" s="92" t="inlineStr">
        <is>
          <t>много</t>
        </is>
      </c>
      <c r="I33" s="127" t="n">
        <v>0</v>
      </c>
      <c r="J33" s="127">
        <f>PRODUCT(PRODUCT(F33:G33),I33)</f>
        <v/>
      </c>
    </row>
    <row r="34" hidden="1" s="201">
      <c r="A34" s="144" t="inlineStr">
        <is>
          <t>Чаща г. Москва</t>
        </is>
      </c>
      <c r="B34" s="202" t="n"/>
      <c r="C34" s="202" t="n"/>
      <c r="D34" s="202" t="n"/>
      <c r="E34" s="202" t="n"/>
      <c r="F34" s="202" t="n"/>
      <c r="G34" s="202" t="n"/>
      <c r="H34" s="203" t="n"/>
      <c r="I34" s="144" t="n">
        <v>0</v>
      </c>
      <c r="J34" s="144" t="n"/>
    </row>
    <row r="35" hidden="1" s="201">
      <c r="A35" s="192" t="inlineStr">
        <is>
          <t>Чаща</t>
        </is>
      </c>
      <c r="B35" s="31" t="inlineStr">
        <is>
          <t>Дзен и искусство ухода за каламанси</t>
        </is>
      </c>
      <c r="C35" s="86" t="inlineStr">
        <is>
          <t>Fruited Gose</t>
        </is>
      </c>
      <c r="D35" s="86" t="inlineStr">
        <is>
          <t>5,5 / 14 / -</t>
        </is>
      </c>
      <c r="E35" s="60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116" t="n">
        <v>20</v>
      </c>
      <c r="G35" s="92" t="n">
        <v>395</v>
      </c>
      <c r="H35" s="76" t="n">
        <v>1</v>
      </c>
      <c r="I35" s="127" t="n">
        <v>0</v>
      </c>
      <c r="J35" s="127">
        <f>PRODUCT(PRODUCT(F35:G35),I35)</f>
        <v/>
      </c>
    </row>
    <row r="36" hidden="1" s="201">
      <c r="A36" s="192" t="inlineStr">
        <is>
          <t>Чаща</t>
        </is>
      </c>
      <c r="B36" s="31" t="inlineStr">
        <is>
          <t>Дзен и искусство ухода за цитрусами</t>
        </is>
      </c>
      <c r="C36" s="86" t="inlineStr">
        <is>
          <t>Fruited Gose</t>
        </is>
      </c>
      <c r="D36" s="86" t="inlineStr">
        <is>
          <t>5,5 / 14 / -</t>
        </is>
      </c>
      <c r="E36" s="60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116" t="n">
        <v>20</v>
      </c>
      <c r="G36" s="92" t="n">
        <v>395</v>
      </c>
      <c r="H36" s="127" t="inlineStr">
        <is>
          <t>новинка</t>
        </is>
      </c>
      <c r="I36" s="127" t="n">
        <v>0</v>
      </c>
      <c r="J36" s="127">
        <f>PRODUCT(PRODUCT(F36:G36),I36)</f>
        <v/>
      </c>
    </row>
    <row r="37" hidden="1" s="201">
      <c r="A37" s="192" t="inlineStr">
        <is>
          <t>Чаща</t>
        </is>
      </c>
      <c r="B37" s="31" t="inlineStr">
        <is>
          <t>Тотем - Медведь</t>
        </is>
      </c>
      <c r="C37" s="86" t="inlineStr">
        <is>
          <t>IPA</t>
        </is>
      </c>
      <c r="D37" s="86" t="inlineStr">
        <is>
          <t>7,5 / 17 / 52</t>
        </is>
      </c>
      <c r="E37" s="60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116" t="n">
        <v>20</v>
      </c>
      <c r="G37" s="92" t="n">
        <v>445</v>
      </c>
      <c r="H37" s="76" t="n">
        <v>1</v>
      </c>
      <c r="I37" s="127" t="n">
        <v>0</v>
      </c>
      <c r="J37" s="127">
        <f>PRODUCT(PRODUCT(F37:G37),I37)</f>
        <v/>
      </c>
    </row>
    <row r="38" hidden="1" s="201">
      <c r="A38" s="90" t="inlineStr">
        <is>
          <t>2 Barrels Brewery г. Санкт-Петербург</t>
        </is>
      </c>
      <c r="B38" s="202" t="n"/>
      <c r="C38" s="202" t="n"/>
      <c r="D38" s="202" t="n"/>
      <c r="E38" s="202" t="n"/>
      <c r="F38" s="202" t="n"/>
      <c r="G38" s="202" t="n"/>
      <c r="H38" s="203" t="n"/>
      <c r="I38" s="90" t="n">
        <v>0</v>
      </c>
      <c r="J38" s="90" t="n"/>
    </row>
    <row r="39" hidden="1" s="201">
      <c r="A39" s="192" t="inlineStr">
        <is>
          <t>2 Barrels Brewery</t>
        </is>
      </c>
      <c r="B39" s="67" t="inlineStr">
        <is>
          <t>Банановые Мозги</t>
        </is>
      </c>
      <c r="C39" s="68" t="inlineStr">
        <is>
          <t>Hopfenweisse</t>
        </is>
      </c>
      <c r="D39" s="75" t="inlineStr">
        <is>
          <t>6 / 16 / 20</t>
        </is>
      </c>
      <c r="E39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86" t="n">
        <v>20</v>
      </c>
      <c r="G39" s="92" t="n">
        <v>349</v>
      </c>
      <c r="H39" s="127" t="inlineStr">
        <is>
          <t>новинка</t>
        </is>
      </c>
      <c r="I39" s="127" t="n">
        <v>0</v>
      </c>
      <c r="J39" s="127">
        <f>PRODUCT(PRODUCT(F39:G39),I39)</f>
        <v/>
      </c>
    </row>
    <row r="40" hidden="1" s="201">
      <c r="A40" s="90" t="inlineStr">
        <is>
          <t>4 Brewers г. Владимир</t>
        </is>
      </c>
      <c r="B40" s="202" t="n"/>
      <c r="C40" s="202" t="n"/>
      <c r="D40" s="202" t="n"/>
      <c r="E40" s="202" t="n"/>
      <c r="F40" s="202" t="n"/>
      <c r="G40" s="202" t="n"/>
      <c r="H40" s="203" t="n"/>
      <c r="I40" s="90" t="n">
        <v>0</v>
      </c>
      <c r="J40" s="90" t="n"/>
    </row>
    <row r="41" hidden="1" s="201">
      <c r="A41" s="192" t="inlineStr">
        <is>
          <t>4 Brewers</t>
        </is>
      </c>
      <c r="B41" s="31" t="inlineStr">
        <is>
          <t>Чешская деситка</t>
        </is>
      </c>
      <c r="C41" s="18" t="inlineStr">
        <is>
          <t>Desitka</t>
        </is>
      </c>
      <c r="D41" s="116" t="inlineStr">
        <is>
          <t xml:space="preserve">4 / 10 / - </t>
        </is>
      </c>
      <c r="E41" s="82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86" t="n">
        <v>30</v>
      </c>
      <c r="G41" s="92" t="n">
        <v>219</v>
      </c>
      <c r="H41" s="92" t="inlineStr">
        <is>
          <t>много</t>
        </is>
      </c>
      <c r="I41" s="127" t="n">
        <v>0</v>
      </c>
      <c r="J41" s="127">
        <f>PRODUCT(PRODUCT(F41:G41),I41)</f>
        <v/>
      </c>
    </row>
    <row r="42" hidden="1" s="201">
      <c r="A42" s="90" t="inlineStr">
        <is>
          <t>Atmosphere Brewery г. Клин</t>
        </is>
      </c>
      <c r="B42" s="202" t="n"/>
      <c r="C42" s="202" t="n"/>
      <c r="D42" s="202" t="n"/>
      <c r="E42" s="202" t="n"/>
      <c r="F42" s="202" t="n"/>
      <c r="G42" s="202" t="n"/>
      <c r="H42" s="203" t="n"/>
      <c r="I42" s="90" t="n">
        <v>0</v>
      </c>
      <c r="J42" s="90" t="n"/>
    </row>
    <row r="43" hidden="1" s="201">
      <c r="A43" s="192" t="inlineStr">
        <is>
          <t>Atmosphere Brewery</t>
        </is>
      </c>
      <c r="B43" s="31" t="inlineStr">
        <is>
          <t>Аномалия</t>
        </is>
      </c>
      <c r="C43" s="18" t="inlineStr">
        <is>
          <t>Porter</t>
        </is>
      </c>
      <c r="D43" s="116" t="inlineStr">
        <is>
          <t>8 / 21 / 30</t>
        </is>
      </c>
      <c r="E43" s="82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86" t="n">
        <v>20</v>
      </c>
      <c r="G43" s="92" t="n">
        <v>289</v>
      </c>
      <c r="H43" s="92" t="inlineStr">
        <is>
          <t>много</t>
        </is>
      </c>
      <c r="I43" s="127" t="n">
        <v>0</v>
      </c>
      <c r="J43" s="127">
        <f>PRODUCT(PRODUCT(F43:G43),I43)</f>
        <v/>
      </c>
    </row>
    <row r="44">
      <c r="A44" s="192" t="inlineStr">
        <is>
          <t>Atmosphere Brewery</t>
        </is>
      </c>
      <c r="B44" s="31" t="inlineStr">
        <is>
          <t>Томатная Дичь Кимчи</t>
        </is>
      </c>
      <c r="C44" s="18" t="inlineStr">
        <is>
          <t>Tomato Gose</t>
        </is>
      </c>
      <c r="D44" s="116" t="inlineStr">
        <is>
          <t>6,5 / 16 / -</t>
        </is>
      </c>
      <c r="E44" s="82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4" s="86" t="n">
        <v>20</v>
      </c>
      <c r="G44" s="92" t="n">
        <v>275</v>
      </c>
      <c r="H44" s="92" t="inlineStr">
        <is>
          <t>много</t>
        </is>
      </c>
      <c r="I44" s="127" t="n">
        <v>0</v>
      </c>
      <c r="J44" s="127">
        <f>PRODUCT(PRODUCT(F44:G44),I44)</f>
        <v/>
      </c>
    </row>
    <row r="45" hidden="1" s="201">
      <c r="A45" s="90" t="inlineStr">
        <is>
          <t>Big Pot г. Ростов-на-Дону</t>
        </is>
      </c>
      <c r="B45" s="202" t="n"/>
      <c r="C45" s="202" t="n"/>
      <c r="D45" s="202" t="n"/>
      <c r="E45" s="202" t="n"/>
      <c r="F45" s="202" t="n"/>
      <c r="G45" s="202" t="n"/>
      <c r="H45" s="203" t="n"/>
      <c r="I45" s="90" t="n">
        <v>0</v>
      </c>
      <c r="J45" s="90" t="n"/>
    </row>
    <row r="46" hidden="1" s="201">
      <c r="A46" s="192" t="inlineStr">
        <is>
          <t>Big Pot</t>
        </is>
      </c>
      <c r="B46" s="30" t="inlineStr">
        <is>
          <t>BIG CLASH!</t>
        </is>
      </c>
      <c r="C46" s="79" t="inlineStr">
        <is>
          <t>Sour IPA</t>
        </is>
      </c>
      <c r="D46" s="79" t="inlineStr">
        <is>
          <t>6,5 /21 / -</t>
        </is>
      </c>
      <c r="E46" s="18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46" s="62" t="n">
        <v>20</v>
      </c>
      <c r="G46" s="93" t="n">
        <v>459</v>
      </c>
      <c r="H46" s="93" t="inlineStr">
        <is>
          <t>много</t>
        </is>
      </c>
      <c r="I46" s="127" t="n">
        <v>0</v>
      </c>
      <c r="J46" s="127">
        <f>PRODUCT(PRODUCT(F46:G46),I46)</f>
        <v/>
      </c>
    </row>
    <row r="47" hidden="1" s="201">
      <c r="A47" s="90" t="inlineStr">
        <is>
          <t>Big Village Brewery г. Краснодар</t>
        </is>
      </c>
      <c r="B47" s="202" t="n"/>
      <c r="C47" s="202" t="n"/>
      <c r="D47" s="202" t="n"/>
      <c r="E47" s="202" t="n"/>
      <c r="F47" s="202" t="n"/>
      <c r="G47" s="202" t="n"/>
      <c r="H47" s="203" t="n"/>
      <c r="I47" s="90" t="n">
        <v>0</v>
      </c>
      <c r="J47" s="90" t="n"/>
    </row>
    <row r="48" hidden="1" s="201">
      <c r="A48" s="192" t="inlineStr">
        <is>
          <t>Big Village</t>
        </is>
      </c>
      <c r="B48" s="30" t="inlineStr">
        <is>
          <t>ABC-Kölsch</t>
        </is>
      </c>
      <c r="C48" s="116" t="inlineStr">
        <is>
          <t>Kölsch</t>
        </is>
      </c>
      <c r="D48" s="116" t="inlineStr">
        <is>
          <t>5,5 / 12,7 / 20</t>
        </is>
      </c>
      <c r="E48" s="82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48" s="86" t="n">
        <v>30</v>
      </c>
      <c r="G48" s="92" t="n">
        <v>295</v>
      </c>
      <c r="H48" s="76" t="n">
        <v>1</v>
      </c>
      <c r="I48" s="127" t="n">
        <v>0</v>
      </c>
      <c r="J48" s="127">
        <f>PRODUCT(PRODUCT(F48:G48),I48)</f>
        <v/>
      </c>
    </row>
    <row r="49" hidden="1" s="201">
      <c r="A49" s="192" t="inlineStr">
        <is>
          <t>Big Village</t>
        </is>
      </c>
      <c r="B49" s="28" t="inlineStr">
        <is>
          <t xml:space="preserve">ABC Weizen </t>
        </is>
      </c>
      <c r="C49" s="18" t="inlineStr">
        <is>
          <t>Hefeweizen</t>
        </is>
      </c>
      <c r="D49" s="116" t="inlineStr">
        <is>
          <t>5,5 / 13 / 15</t>
        </is>
      </c>
      <c r="E49" s="82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49" s="86" t="n">
        <v>30</v>
      </c>
      <c r="G49" s="92" t="n">
        <v>295</v>
      </c>
      <c r="H49" s="92" t="inlineStr">
        <is>
          <t>много</t>
        </is>
      </c>
      <c r="I49" s="127" t="n">
        <v>0</v>
      </c>
      <c r="J49" s="127">
        <f>PRODUCT(PRODUCT(F49:G49),I49)</f>
        <v/>
      </c>
    </row>
    <row r="50" hidden="1" s="201">
      <c r="A50" s="192" t="inlineStr">
        <is>
          <t>Big Village</t>
        </is>
      </c>
      <c r="B50" s="30" t="inlineStr">
        <is>
          <t>Duck Moment</t>
        </is>
      </c>
      <c r="C50" s="18" t="inlineStr">
        <is>
          <t>DDH New Zealand IPA</t>
        </is>
      </c>
      <c r="D50" s="116" t="inlineStr">
        <is>
          <t>7 / 17 / 40</t>
        </is>
      </c>
      <c r="E50" s="82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50" s="86" t="n">
        <v>20</v>
      </c>
      <c r="G50" s="92" t="n">
        <v>459</v>
      </c>
      <c r="H50" s="76" t="n">
        <v>1</v>
      </c>
      <c r="I50" s="127" t="n">
        <v>0</v>
      </c>
      <c r="J50" s="127">
        <f>PRODUCT(PRODUCT(F50:G50),I50)</f>
        <v/>
      </c>
    </row>
    <row r="51" hidden="1" s="201">
      <c r="A51" s="192" t="inlineStr">
        <is>
          <t>Big Village</t>
        </is>
      </c>
      <c r="B51" s="30" t="inlineStr">
        <is>
          <t>Fruitride</t>
        </is>
      </c>
      <c r="C51" s="18" t="inlineStr">
        <is>
          <t>Sour Ale</t>
        </is>
      </c>
      <c r="D51" s="116" t="inlineStr">
        <is>
          <t>6 / 16 / -</t>
        </is>
      </c>
      <c r="E51" s="82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51" s="86" t="n">
        <v>30</v>
      </c>
      <c r="G51" s="92" t="n">
        <v>409</v>
      </c>
      <c r="H51" s="127" t="inlineStr">
        <is>
          <t>новинка</t>
        </is>
      </c>
      <c r="I51" s="127" t="n">
        <v>0</v>
      </c>
      <c r="J51" s="127">
        <f>PRODUCT(PRODUCT(F51:G51),I51)</f>
        <v/>
      </c>
    </row>
    <row r="52" hidden="1" s="201">
      <c r="A52" s="192" t="inlineStr">
        <is>
          <t>Big Village</t>
        </is>
      </c>
      <c r="B52" s="30" t="inlineStr">
        <is>
          <t>Heartless Shadow</t>
        </is>
      </c>
      <c r="C52" s="18" t="inlineStr">
        <is>
          <t>Cold APA</t>
        </is>
      </c>
      <c r="D52" s="116" t="inlineStr">
        <is>
          <t>5,5 / 13,5 / 50</t>
        </is>
      </c>
      <c r="E52" s="82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52" s="86" t="n">
        <v>20</v>
      </c>
      <c r="G52" s="92" t="n">
        <v>389</v>
      </c>
      <c r="H52" s="48" t="n">
        <v>1</v>
      </c>
      <c r="I52" s="127" t="n">
        <v>0</v>
      </c>
      <c r="J52" s="127">
        <f>PRODUCT(PRODUCT(F52:G52),I52)</f>
        <v/>
      </c>
    </row>
    <row r="53" hidden="1" s="201">
      <c r="A53" s="192" t="inlineStr">
        <is>
          <t>Big Village</t>
        </is>
      </c>
      <c r="B53" s="30" t="inlineStr">
        <is>
          <t>IMAGINARIUM</t>
        </is>
      </c>
      <c r="C53" s="116" t="inlineStr">
        <is>
          <t>IPA</t>
        </is>
      </c>
      <c r="D53" s="116" t="inlineStr">
        <is>
          <t>7 / 16 / 60</t>
        </is>
      </c>
      <c r="E53" s="82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53" s="86" t="n">
        <v>20</v>
      </c>
      <c r="G53" s="92" t="n">
        <v>375</v>
      </c>
      <c r="H53" s="92" t="inlineStr">
        <is>
          <t>много</t>
        </is>
      </c>
      <c r="I53" s="127" t="n">
        <v>0</v>
      </c>
      <c r="J53" s="127">
        <f>PRODUCT(PRODUCT(F53:G53),I53)</f>
        <v/>
      </c>
    </row>
    <row r="54" hidden="1" s="201">
      <c r="A54" s="192" t="inlineStr">
        <is>
          <t>Big Village</t>
        </is>
      </c>
      <c r="B54" s="30" t="inlineStr">
        <is>
          <t>REARVIEW</t>
        </is>
      </c>
      <c r="C54" s="116" t="inlineStr">
        <is>
          <t>NE DIPA</t>
        </is>
      </c>
      <c r="D54" s="116" t="inlineStr">
        <is>
          <t>8,5 / 20 / 40</t>
        </is>
      </c>
      <c r="E54" s="82" t="inlineStr">
        <is>
          <t>Двойной Хейзи АйПиЭй с массивной овсяной базой, охмелённый гранулами Galaxy/Krush/Citra CRYO.</t>
        </is>
      </c>
      <c r="F54" s="86" t="n">
        <v>20</v>
      </c>
      <c r="G54" s="92" t="n">
        <v>475</v>
      </c>
      <c r="H54" s="92" t="inlineStr">
        <is>
          <t>много</t>
        </is>
      </c>
      <c r="I54" s="127" t="n">
        <v>0</v>
      </c>
      <c r="J54" s="127">
        <f>PRODUCT(PRODUCT(F54:G54),I54)</f>
        <v/>
      </c>
    </row>
    <row r="55" hidden="1" s="201">
      <c r="A55" s="192" t="inlineStr">
        <is>
          <t>Big Village</t>
        </is>
      </c>
      <c r="B55" s="30" t="inlineStr">
        <is>
          <t>Seven Shimmers</t>
        </is>
      </c>
      <c r="C55" s="18" t="inlineStr">
        <is>
          <t>DDH Oat Cream 
NEDIPA</t>
        </is>
      </c>
      <c r="D55" s="116" t="inlineStr">
        <is>
          <t>8 / 22 / 40</t>
        </is>
      </c>
      <c r="E55" s="82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55" s="86" t="n">
        <v>20</v>
      </c>
      <c r="G55" s="92" t="n">
        <v>469</v>
      </c>
      <c r="H55" s="127" t="inlineStr">
        <is>
          <t>новинка</t>
        </is>
      </c>
      <c r="I55" s="127" t="n">
        <v>0</v>
      </c>
      <c r="J55" s="127">
        <f>PRODUCT(PRODUCT(F55:G55),I55)</f>
        <v/>
      </c>
    </row>
    <row r="56" hidden="1" s="201">
      <c r="A56" s="192" t="inlineStr">
        <is>
          <t>Big Village</t>
        </is>
      </c>
      <c r="B56" s="30" t="inlineStr">
        <is>
          <t>Village Blanche</t>
        </is>
      </c>
      <c r="C56" s="18" t="inlineStr">
        <is>
          <t>Blanche</t>
        </is>
      </c>
      <c r="D56" s="116" t="inlineStr">
        <is>
          <t>5 / 12 / 15</t>
        </is>
      </c>
      <c r="E56" s="82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56" s="86" t="n">
        <v>20</v>
      </c>
      <c r="G56" s="92" t="n">
        <v>299</v>
      </c>
      <c r="H56" s="92" t="inlineStr">
        <is>
          <t>много</t>
        </is>
      </c>
      <c r="I56" s="127" t="n">
        <v>0</v>
      </c>
      <c r="J56" s="127">
        <f>PRODUCT(PRODUCT(F56:G56),I56)</f>
        <v/>
      </c>
    </row>
    <row r="57" hidden="1" s="201">
      <c r="A57" s="192" t="inlineStr">
        <is>
          <t>Big Village</t>
        </is>
      </c>
      <c r="B57" s="30" t="inlineStr">
        <is>
          <t>Village Stout</t>
        </is>
      </c>
      <c r="C57" s="18" t="inlineStr">
        <is>
          <t>Oatmeal Stout</t>
        </is>
      </c>
      <c r="D57" s="116" t="inlineStr">
        <is>
          <t>6 / 15 / 40</t>
        </is>
      </c>
      <c r="E57" s="82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57" s="86" t="n">
        <v>20</v>
      </c>
      <c r="G57" s="92" t="n">
        <v>335</v>
      </c>
      <c r="H57" s="127" t="inlineStr">
        <is>
          <t>новинка</t>
        </is>
      </c>
      <c r="I57" s="127" t="n">
        <v>0</v>
      </c>
      <c r="J57" s="127">
        <f>PRODUCT(PRODUCT(F57:G57),I57)</f>
        <v/>
      </c>
    </row>
    <row r="58" hidden="1" s="201">
      <c r="A58" s="192" t="inlineStr">
        <is>
          <t>Big Village</t>
        </is>
      </c>
      <c r="B58" s="28" t="inlineStr">
        <is>
          <t>Yellow Cream</t>
        </is>
      </c>
      <c r="C58" s="18" t="inlineStr">
        <is>
          <t>Oat Cream NE DIPA</t>
        </is>
      </c>
      <c r="D58" s="116" t="inlineStr">
        <is>
          <t>8,5 / 22 / 40</t>
        </is>
      </c>
      <c r="E58" s="82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58" s="86" t="n">
        <v>20</v>
      </c>
      <c r="G58" s="92" t="n">
        <v>475</v>
      </c>
      <c r="H58" s="48" t="n">
        <v>1</v>
      </c>
      <c r="I58" s="127" t="n">
        <v>0</v>
      </c>
      <c r="J58" s="127">
        <f>PRODUCT(PRODUCT(F58:G58),I58)</f>
        <v/>
      </c>
    </row>
    <row r="59" hidden="1" s="201">
      <c r="A59" s="90" t="inlineStr">
        <is>
          <t>Bonnie Ship г. Москва</t>
        </is>
      </c>
      <c r="B59" s="202" t="n"/>
      <c r="C59" s="202" t="n"/>
      <c r="D59" s="202" t="n"/>
      <c r="E59" s="202" t="n"/>
      <c r="F59" s="202" t="n"/>
      <c r="G59" s="202" t="n"/>
      <c r="H59" s="203" t="n"/>
      <c r="I59" s="90" t="n">
        <v>0</v>
      </c>
      <c r="J59" s="90" t="n"/>
    </row>
    <row r="60" hidden="1" s="201">
      <c r="A60" s="192" t="inlineStr">
        <is>
          <t>Bonnie Ship</t>
        </is>
      </c>
      <c r="B60" s="85" t="inlineStr">
        <is>
          <t>QUEEN GRACE</t>
        </is>
      </c>
      <c r="C60" s="62" t="inlineStr">
        <is>
          <t>Red Ale</t>
        </is>
      </c>
      <c r="D60" s="62" t="inlineStr">
        <is>
          <t>5 / 13 / 26</t>
        </is>
      </c>
      <c r="E60" s="154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60" s="62" t="n">
        <v>20</v>
      </c>
      <c r="G60" s="93" t="n">
        <v>319</v>
      </c>
      <c r="H60" s="93" t="inlineStr">
        <is>
          <t>много</t>
        </is>
      </c>
      <c r="I60" s="127" t="n">
        <v>0</v>
      </c>
      <c r="J60" s="127">
        <f>PRODUCT(PRODUCT(F60:G60),I60)</f>
        <v/>
      </c>
    </row>
    <row r="61" hidden="1" s="201">
      <c r="A61" s="192" t="inlineStr">
        <is>
          <t>Bonnie Ship</t>
        </is>
      </c>
      <c r="B61" s="85" t="inlineStr">
        <is>
          <t>RADETZKY MARCH</t>
        </is>
      </c>
      <c r="C61" s="159" t="inlineStr">
        <is>
          <t>Vienna Lager</t>
        </is>
      </c>
      <c r="D61" s="159" t="inlineStr">
        <is>
          <t>4,5 / 11,5 / 20</t>
        </is>
      </c>
      <c r="E61" s="82" t="inlineStr">
        <is>
          <t>RADETZKY MARCH Vienna Lager - посвящение легендарному маршу Штрауса, покорившему мир.Именно под звуки Марша Радецкого рождался наш новый релиз: янтарный венский лагер с мягким солодовым профилем, ярким характером континентального хмеля Kazbek для тех, кто ценит изысканность и историю.</t>
        </is>
      </c>
      <c r="F61" s="86" t="n">
        <v>30</v>
      </c>
      <c r="G61" s="92" t="n">
        <v>319</v>
      </c>
      <c r="H61" s="93" t="inlineStr">
        <is>
          <t>много</t>
        </is>
      </c>
      <c r="I61" s="127" t="n">
        <v>0</v>
      </c>
      <c r="J61" s="127">
        <f>PRODUCT(PRODUCT(F61:G61),I61)</f>
        <v/>
      </c>
    </row>
    <row r="62" hidden="1" s="201">
      <c r="A62" s="192" t="inlineStr">
        <is>
          <t>Bonnie Ship</t>
        </is>
      </c>
      <c r="B62" s="83" t="inlineStr">
        <is>
          <t>ST ANDREWS</t>
        </is>
      </c>
      <c r="C62" s="178" t="inlineStr">
        <is>
          <t>Scottish Light Ale</t>
        </is>
      </c>
      <c r="D62" s="62" t="inlineStr">
        <is>
          <t>4 / 11 / 26</t>
        </is>
      </c>
      <c r="E62" s="18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62" s="62" t="n">
        <v>30</v>
      </c>
      <c r="G62" s="93" t="n">
        <v>319</v>
      </c>
      <c r="H62" s="48" t="n">
        <v>1</v>
      </c>
      <c r="I62" s="127" t="n">
        <v>0</v>
      </c>
      <c r="J62" s="127">
        <f>PRODUCT(PRODUCT(F62:G62),I62)</f>
        <v/>
      </c>
    </row>
    <row r="63" hidden="1" s="201">
      <c r="A63" s="192" t="inlineStr">
        <is>
          <t>Bonnie Ship</t>
        </is>
      </c>
      <c r="B63" s="83" t="inlineStr">
        <is>
          <t>THE DIAMOND</t>
        </is>
      </c>
      <c r="C63" s="159" t="inlineStr">
        <is>
          <t>Sea Shanty IPA</t>
        </is>
      </c>
      <c r="D63" s="86" t="inlineStr">
        <is>
          <t>5 / 12,5 / 42</t>
        </is>
      </c>
      <c r="E63" s="82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63" s="86" t="n">
        <v>30</v>
      </c>
      <c r="G63" s="92" t="n">
        <v>319</v>
      </c>
      <c r="H63" s="93" t="inlineStr">
        <is>
          <t>много</t>
        </is>
      </c>
      <c r="I63" s="127" t="n">
        <v>0</v>
      </c>
      <c r="J63" s="127">
        <f>PRODUCT(PRODUCT(F63:G63),I63)</f>
        <v/>
      </c>
    </row>
    <row r="64" hidden="1" s="201">
      <c r="A64" s="144" t="inlineStr">
        <is>
          <t>Boxing Wizard Brewery г. Москва</t>
        </is>
      </c>
      <c r="B64" s="202" t="n"/>
      <c r="C64" s="202" t="n"/>
      <c r="D64" s="202" t="n"/>
      <c r="E64" s="202" t="n"/>
      <c r="F64" s="202" t="n"/>
      <c r="G64" s="202" t="n"/>
      <c r="H64" s="203" t="n"/>
      <c r="I64" s="144" t="n">
        <v>0</v>
      </c>
      <c r="J64" s="144" t="n"/>
    </row>
    <row r="65" hidden="1" s="201">
      <c r="A65" s="192" t="inlineStr">
        <is>
          <t>Boxing Wizard</t>
        </is>
      </c>
      <c r="B65" s="85" t="inlineStr">
        <is>
          <t>Braw Chuchter</t>
        </is>
      </c>
      <c r="C65" s="159" t="inlineStr">
        <is>
          <t>Scottish Export Ale</t>
        </is>
      </c>
      <c r="D65" s="86" t="inlineStr">
        <is>
          <t>4 / 11 / 18</t>
        </is>
      </c>
      <c r="E65" s="82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65" s="86" t="n">
        <v>20</v>
      </c>
      <c r="G65" s="92" t="n">
        <v>359</v>
      </c>
      <c r="H65" s="76" t="n">
        <v>1</v>
      </c>
      <c r="I65" s="127" t="n">
        <v>0</v>
      </c>
      <c r="J65" s="127">
        <f>PRODUCT(PRODUCT(F65:G65),I65)</f>
        <v/>
      </c>
    </row>
    <row r="66" hidden="1" s="201">
      <c r="A66" s="192" t="inlineStr">
        <is>
          <t>Boxing Wizard</t>
        </is>
      </c>
      <c r="B66" s="85" t="inlineStr">
        <is>
          <t>Irish Wolf</t>
        </is>
      </c>
      <c r="C66" s="159" t="inlineStr">
        <is>
          <t>IPA</t>
        </is>
      </c>
      <c r="D66" s="86" t="inlineStr">
        <is>
          <t>5,5 / 13 / 45</t>
        </is>
      </c>
      <c r="E66" s="82" t="inlineStr">
        <is>
          <t>Лёгкий IPA с мягкой горечью и округлым вкусом, на охмелении Citra и First Gold.</t>
        </is>
      </c>
      <c r="F66" s="86" t="n">
        <v>20</v>
      </c>
      <c r="G66" s="92" t="n">
        <v>375</v>
      </c>
      <c r="H66" s="92" t="inlineStr">
        <is>
          <t>много</t>
        </is>
      </c>
      <c r="I66" s="127" t="n">
        <v>0</v>
      </c>
      <c r="J66" s="127">
        <f>PRODUCT(PRODUCT(F66:G66),I66)</f>
        <v/>
      </c>
    </row>
    <row r="67" hidden="1" s="201">
      <c r="A67" s="192" t="inlineStr">
        <is>
          <t>Boxing Wizard</t>
        </is>
      </c>
      <c r="B67" s="85" t="inlineStr">
        <is>
          <t>Sound Bevvy</t>
        </is>
      </c>
      <c r="C67" s="159" t="inlineStr">
        <is>
          <t>Hoppy Amber Lager</t>
        </is>
      </c>
      <c r="D67" s="86" t="inlineStr">
        <is>
          <t>4 / 10,5 / 29</t>
        </is>
      </c>
      <c r="E67" s="82" t="inlineStr">
        <is>
          <t>Лёгкий янтарный лагер с выразительной горечью. Коллаборация с клубом болельщиков Liverpool FC - Moskopites. YNWA!</t>
        </is>
      </c>
      <c r="F67" s="86" t="n">
        <v>20</v>
      </c>
      <c r="G67" s="92" t="n">
        <v>359</v>
      </c>
      <c r="H67" s="92" t="inlineStr">
        <is>
          <t>много</t>
        </is>
      </c>
      <c r="I67" s="127" t="n">
        <v>0</v>
      </c>
      <c r="J67" s="127">
        <f>PRODUCT(PRODUCT(F67:G67),I67)</f>
        <v/>
      </c>
    </row>
    <row r="68" hidden="1" s="201">
      <c r="A68" s="144" t="inlineStr">
        <is>
          <t>DIETA г. Санкт-Петербург</t>
        </is>
      </c>
      <c r="B68" s="202" t="n"/>
      <c r="C68" s="202" t="n"/>
      <c r="D68" s="202" t="n"/>
      <c r="E68" s="202" t="n"/>
      <c r="F68" s="202" t="n"/>
      <c r="G68" s="202" t="n"/>
      <c r="H68" s="203" t="n"/>
      <c r="I68" s="144" t="n">
        <v>0</v>
      </c>
      <c r="J68" s="144" t="n"/>
    </row>
    <row r="69" hidden="1" s="201">
      <c r="A69" s="192" t="inlineStr">
        <is>
          <t>DIETA</t>
        </is>
      </c>
      <c r="B69" s="83" t="inlineStr">
        <is>
          <t>В Собственном Соку: Вишня</t>
        </is>
      </c>
      <c r="C69" s="86" t="inlineStr">
        <is>
          <t>Strong Fruit 
Beer</t>
        </is>
      </c>
      <c r="D69" s="86" t="inlineStr">
        <is>
          <t>7 / - / -</t>
        </is>
      </c>
      <c r="E69" s="82" t="inlineStr">
        <is>
          <t>Насыщенная, яркая, крепкая и коварная вишенка. Сочная и спелая. Пейте с наслаждением и ответственно!</t>
        </is>
      </c>
      <c r="F69" s="86" t="n">
        <v>20</v>
      </c>
      <c r="G69" s="92" t="n">
        <v>449</v>
      </c>
      <c r="H69" s="92" t="inlineStr">
        <is>
          <t>много</t>
        </is>
      </c>
      <c r="I69" s="127" t="n">
        <v>0</v>
      </c>
      <c r="J69" s="127">
        <f>PRODUCT(PRODUCT(F69:G69),I69)</f>
        <v/>
      </c>
    </row>
    <row r="70" hidden="1" s="201">
      <c r="A70" s="192" t="inlineStr">
        <is>
          <t>DIETA</t>
        </is>
      </c>
      <c r="B70" s="83" t="inlineStr">
        <is>
          <t>Синьор Помидор И Друг Его Тимьян</t>
        </is>
      </c>
      <c r="C70" s="86" t="inlineStr">
        <is>
          <t>Tomato Gose</t>
        </is>
      </c>
      <c r="D70" s="86" t="inlineStr">
        <is>
          <t>5 / - / -</t>
        </is>
      </c>
      <c r="E70" s="82" t="inlineStr">
        <is>
          <t>Лучший Томатный Гозе с Тимьяном!</t>
        </is>
      </c>
      <c r="F70" s="86" t="n">
        <v>20</v>
      </c>
      <c r="G70" s="92" t="n">
        <v>375</v>
      </c>
      <c r="H70" s="92" t="inlineStr">
        <is>
          <t>много</t>
        </is>
      </c>
      <c r="I70" s="127" t="n">
        <v>0</v>
      </c>
      <c r="J70" s="127">
        <f>PRODUCT(PRODUCT(F70:G70),I70)</f>
        <v/>
      </c>
    </row>
    <row r="71" hidden="1" s="201">
      <c r="A71" s="90" t="inlineStr">
        <is>
          <t>Horror Brewing г. Москва</t>
        </is>
      </c>
      <c r="B71" s="202" t="n"/>
      <c r="C71" s="202" t="n"/>
      <c r="D71" s="202" t="n"/>
      <c r="E71" s="202" t="n"/>
      <c r="F71" s="202" t="n"/>
      <c r="G71" s="202" t="n"/>
      <c r="H71" s="203" t="n"/>
      <c r="I71" s="90" t="n">
        <v>0</v>
      </c>
      <c r="J71" s="90" t="n"/>
    </row>
    <row r="72" hidden="1" s="201">
      <c r="A72" s="192" t="inlineStr">
        <is>
          <t>Horror</t>
        </is>
      </c>
      <c r="B72" s="83" t="inlineStr">
        <is>
          <t>Голова</t>
        </is>
      </c>
      <c r="C72" s="159" t="inlineStr">
        <is>
          <t>Barleywine</t>
        </is>
      </c>
      <c r="D72" s="86" t="inlineStr">
        <is>
          <t>11 / 24 / -</t>
        </is>
      </c>
      <c r="E72" s="152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72" s="86" t="n">
        <v>20</v>
      </c>
      <c r="G72" s="92" t="n">
        <v>379</v>
      </c>
      <c r="H72" s="92" t="inlineStr">
        <is>
          <t>много</t>
        </is>
      </c>
      <c r="I72" s="127" t="n">
        <v>0</v>
      </c>
      <c r="J72" s="127">
        <f>PRODUCT(PRODUCT(F72:G72),I72)</f>
        <v/>
      </c>
    </row>
    <row r="73" hidden="1" s="201">
      <c r="A73" s="192" t="inlineStr">
        <is>
          <t>Horror</t>
        </is>
      </c>
      <c r="B73" s="83" t="inlineStr">
        <is>
          <t>A Night In The Lonesome October</t>
        </is>
      </c>
      <c r="C73" s="159" t="inlineStr">
        <is>
          <t>APA</t>
        </is>
      </c>
      <c r="D73" s="86" t="inlineStr">
        <is>
          <t>5,4 / 14 / -</t>
        </is>
      </c>
      <c r="E73" s="152" t="inlineStr">
        <is>
          <t>American Pale Ale w/ Cascade, Citra &amp; Centennial. Поздравляем бар Craft Republic с их 11 летием. Ура!</t>
        </is>
      </c>
      <c r="F73" s="86" t="n">
        <v>20</v>
      </c>
      <c r="G73" s="92" t="n">
        <v>349</v>
      </c>
      <c r="H73" s="127" t="inlineStr">
        <is>
          <t>новинка</t>
        </is>
      </c>
      <c r="I73" s="127" t="n">
        <v>0</v>
      </c>
      <c r="J73" s="127">
        <f>PRODUCT(PRODUCT(F73:G73),I73)</f>
        <v/>
      </c>
    </row>
    <row r="74" hidden="1" s="201">
      <c r="A74" s="192" t="inlineStr">
        <is>
          <t>Horror</t>
        </is>
      </c>
      <c r="B74" s="83" t="inlineStr">
        <is>
          <t>Caress and Scratch</t>
        </is>
      </c>
      <c r="C74" s="159" t="inlineStr">
        <is>
          <t>IPA</t>
        </is>
      </c>
      <c r="D74" s="86" t="inlineStr">
        <is>
          <t>6,5 / - / -</t>
        </is>
      </c>
      <c r="E74" s="152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74" s="86" t="n">
        <v>20</v>
      </c>
      <c r="G74" s="92" t="n">
        <v>365</v>
      </c>
      <c r="H74" s="92" t="inlineStr">
        <is>
          <t>много</t>
        </is>
      </c>
      <c r="I74" s="127" t="n">
        <v>0</v>
      </c>
      <c r="J74" s="127">
        <f>PRODUCT(PRODUCT(F74:G74),I74)</f>
        <v/>
      </c>
    </row>
    <row r="75" hidden="1" s="201">
      <c r="A75" s="192" t="inlineStr">
        <is>
          <t>Horror</t>
        </is>
      </c>
      <c r="B75" s="83" t="inlineStr">
        <is>
          <t>Epidemic</t>
        </is>
      </c>
      <c r="C75" s="86" t="inlineStr">
        <is>
          <t>Porter</t>
        </is>
      </c>
      <c r="D75" s="86" t="inlineStr">
        <is>
          <t>6 / 15,5 / -</t>
        </is>
      </c>
      <c r="E75" s="152" t="inlineStr">
        <is>
          <t>Классический American Porter.</t>
        </is>
      </c>
      <c r="F75" s="86" t="n">
        <v>20</v>
      </c>
      <c r="G75" s="92" t="n">
        <v>339</v>
      </c>
      <c r="H75" s="48" t="n">
        <v>1</v>
      </c>
      <c r="I75" s="127" t="n">
        <v>0</v>
      </c>
      <c r="J75" s="127">
        <f>PRODUCT(PRODUCT(F75:G75),I75)</f>
        <v/>
      </c>
    </row>
    <row r="76" hidden="1" s="201">
      <c r="A76" s="192" t="inlineStr">
        <is>
          <t>Horror</t>
        </is>
      </c>
      <c r="B76" s="83" t="inlineStr">
        <is>
          <t>Festival Destroyer</t>
        </is>
      </c>
      <c r="C76" s="159" t="inlineStr">
        <is>
          <t>Double Stout</t>
        </is>
      </c>
      <c r="D76" s="86" t="inlineStr">
        <is>
          <t xml:space="preserve">9 / 22 - </t>
        </is>
      </c>
      <c r="E76" s="152" t="inlineStr">
        <is>
          <t>Двойной овсяный стаут - сухой, без каких либо добавок, 9%.</t>
        </is>
      </c>
      <c r="F76" s="86" t="n">
        <v>20</v>
      </c>
      <c r="G76" s="92" t="n">
        <v>295</v>
      </c>
      <c r="H76" s="92" t="inlineStr">
        <is>
          <t>много</t>
        </is>
      </c>
      <c r="I76" s="127" t="n">
        <v>0</v>
      </c>
      <c r="J76" s="127">
        <f>PRODUCT(PRODUCT(F76:G76),I76)</f>
        <v/>
      </c>
    </row>
    <row r="77" hidden="1" s="201">
      <c r="A77" s="192" t="inlineStr">
        <is>
          <t>Horror</t>
        </is>
      </c>
      <c r="B77" s="151" t="inlineStr">
        <is>
          <t>I Was Getting Drunk In A Flower Shop 10 Years Ago</t>
        </is>
      </c>
      <c r="C77" s="62" t="inlineStr">
        <is>
          <t>IPA</t>
        </is>
      </c>
      <c r="D77" s="62" t="inlineStr">
        <is>
          <t>5 / - / -</t>
        </is>
      </c>
      <c r="E77" s="91" t="inlineStr">
        <is>
          <t>Session IPA w/ Cascade, Southern Cross &amp; Green Bullet Море новозеландского хмеля к 10-летию московского бара Сосна и Липа.</t>
        </is>
      </c>
      <c r="F77" s="62" t="n">
        <v>20</v>
      </c>
      <c r="G77" s="93" t="n">
        <v>349</v>
      </c>
      <c r="H77" s="48" t="n">
        <v>1</v>
      </c>
      <c r="I77" s="127" t="n">
        <v>0</v>
      </c>
      <c r="J77" s="127">
        <f>PRODUCT(PRODUCT(F77:G77),I77)</f>
        <v/>
      </c>
    </row>
    <row r="78" hidden="1" s="201">
      <c r="A78" s="192" t="inlineStr">
        <is>
          <t>Horror</t>
        </is>
      </c>
      <c r="B78" s="83" t="inlineStr">
        <is>
          <t>Midday Beast</t>
        </is>
      </c>
      <c r="C78" s="86" t="inlineStr">
        <is>
          <t>Wheat Beer</t>
        </is>
      </c>
      <c r="D78" s="86" t="inlineStr">
        <is>
          <t>5 / 14,5 / -</t>
        </is>
      </c>
      <c r="E78" s="152" t="inlineStr">
        <is>
          <t>American Wheat Ale, охмелённый Citra.</t>
        </is>
      </c>
      <c r="F78" s="86" t="n">
        <v>20</v>
      </c>
      <c r="G78" s="92" t="n">
        <v>409</v>
      </c>
      <c r="H78" s="76" t="n">
        <v>1</v>
      </c>
      <c r="I78" s="127" t="n">
        <v>0</v>
      </c>
      <c r="J78" s="127">
        <f>PRODUCT(PRODUCT(F78:G78),I78)</f>
        <v/>
      </c>
    </row>
    <row r="79" hidden="1" s="201">
      <c r="A79" s="192" t="inlineStr">
        <is>
          <t>Horror</t>
        </is>
      </c>
      <c r="B79" s="83" t="inlineStr">
        <is>
          <t>Midnight Beast</t>
        </is>
      </c>
      <c r="C79" s="159" t="inlineStr">
        <is>
          <t>American Wheat Ale</t>
        </is>
      </c>
      <c r="D79" s="86" t="inlineStr">
        <is>
          <t>5,5 / 14 / -</t>
        </is>
      </c>
      <c r="E79" s="152" t="inlineStr">
        <is>
          <t>Освежающий американ фит эль с большим количеством новозеландского хмеля Galaxy.</t>
        </is>
      </c>
      <c r="F79" s="86" t="n">
        <v>20</v>
      </c>
      <c r="G79" s="92" t="n">
        <v>329</v>
      </c>
      <c r="H79" s="92" t="inlineStr">
        <is>
          <t>много</t>
        </is>
      </c>
      <c r="I79" s="127" t="n">
        <v>0</v>
      </c>
      <c r="J79" s="127">
        <f>PRODUCT(PRODUCT(F79:G79),I79)</f>
        <v/>
      </c>
    </row>
    <row r="80" hidden="1" s="201">
      <c r="A80" s="192" t="inlineStr">
        <is>
          <t>Horror</t>
        </is>
      </c>
      <c r="B80" s="83" t="inlineStr">
        <is>
          <t>Nonstop Feeling</t>
        </is>
      </c>
      <c r="C80" s="62" t="inlineStr">
        <is>
          <t>DIPA</t>
        </is>
      </c>
      <c r="D80" s="62" t="inlineStr">
        <is>
          <t>8,6 / 20 / -</t>
        </is>
      </c>
      <c r="E80" s="91" t="inlineStr">
        <is>
          <t>Double IPA w/HBC 1019, KRUSH (HBC 586) &amp; Citra Сорт приурочен к дню рождения бара Опыт из Екатеринбурга. Ура!</t>
        </is>
      </c>
      <c r="F80" s="62" t="n">
        <v>20</v>
      </c>
      <c r="G80" s="93" t="n">
        <v>479</v>
      </c>
      <c r="H80" s="92" t="inlineStr">
        <is>
          <t>много</t>
        </is>
      </c>
      <c r="I80" s="127" t="n">
        <v>0</v>
      </c>
      <c r="J80" s="127">
        <f>PRODUCT(PRODUCT(F80:G80),I80)</f>
        <v/>
      </c>
    </row>
    <row r="81" hidden="1" s="201">
      <c r="A81" s="192" t="inlineStr">
        <is>
          <t>Horror</t>
        </is>
      </c>
      <c r="B81" s="83" t="inlineStr">
        <is>
          <t>Same Shit Different Day V.2</t>
        </is>
      </c>
      <c r="C81" s="159" t="inlineStr">
        <is>
          <t>Lager</t>
        </is>
      </c>
      <c r="D81" s="86" t="inlineStr">
        <is>
          <t>5,5 / - / -</t>
        </is>
      </c>
      <c r="E81" s="152" t="inlineStr">
        <is>
          <t>Вторая вариация лагера в коллаборации с московским бистро Underdog.</t>
        </is>
      </c>
      <c r="F81" s="86" t="n">
        <v>20</v>
      </c>
      <c r="G81" s="92" t="n">
        <v>369</v>
      </c>
      <c r="H81" s="92" t="inlineStr">
        <is>
          <t>много</t>
        </is>
      </c>
      <c r="I81" s="127" t="n">
        <v>0</v>
      </c>
      <c r="J81" s="127">
        <f>PRODUCT(PRODUCT(F81:G81),I81)</f>
        <v/>
      </c>
    </row>
    <row r="82" hidden="1" s="201">
      <c r="A82" s="90" t="inlineStr">
        <is>
          <t>Khoffner Brewery г. Санкт-Петербург</t>
        </is>
      </c>
      <c r="B82" s="202" t="n"/>
      <c r="C82" s="202" t="n"/>
      <c r="D82" s="202" t="n"/>
      <c r="E82" s="202" t="n"/>
      <c r="F82" s="202" t="n"/>
      <c r="G82" s="202" t="n"/>
      <c r="H82" s="203" t="n"/>
      <c r="I82" s="90" t="n">
        <v>0</v>
      </c>
      <c r="J82" s="90" t="n"/>
    </row>
    <row r="83" hidden="1" s="201">
      <c r="A83" s="157" t="inlineStr">
        <is>
          <t>Khoffner</t>
        </is>
      </c>
      <c r="B83" s="85" t="inlineStr">
        <is>
          <t>La Lucha Libre</t>
        </is>
      </c>
      <c r="C83" s="62" t="inlineStr">
        <is>
          <t>Mexican Lager</t>
        </is>
      </c>
      <c r="D83" s="62" t="inlineStr">
        <is>
          <t>4,2 / 10,1 / 18</t>
        </is>
      </c>
      <c r="E83" s="154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83" s="178" t="n">
        <v>20</v>
      </c>
      <c r="G83" s="155" t="n">
        <v>249</v>
      </c>
      <c r="H83" s="93" t="inlineStr">
        <is>
          <t>много</t>
        </is>
      </c>
      <c r="I83" s="127" t="n">
        <v>0</v>
      </c>
      <c r="J83" s="127">
        <f>PRODUCT(PRODUCT(F83:G83),I83)</f>
        <v/>
      </c>
    </row>
    <row r="84" hidden="1" s="201">
      <c r="A84" s="90" t="inlineStr">
        <is>
          <t>Mantra г. Санкт-Петербург</t>
        </is>
      </c>
      <c r="B84" s="202" t="n"/>
      <c r="C84" s="202" t="n"/>
      <c r="D84" s="202" t="n"/>
      <c r="E84" s="202" t="n"/>
      <c r="F84" s="202" t="n"/>
      <c r="G84" s="202" t="n"/>
      <c r="H84" s="203" t="n"/>
      <c r="I84" s="90" t="n">
        <v>0</v>
      </c>
      <c r="J84" s="90" t="n"/>
    </row>
    <row r="85" hidden="1" s="201">
      <c r="A85" s="192" t="inlineStr">
        <is>
          <t>Mantra</t>
        </is>
      </c>
      <c r="B85" s="32" t="inlineStr">
        <is>
          <t>Hellbringer</t>
        </is>
      </c>
      <c r="C85" s="75" t="inlineStr">
        <is>
          <t>RIS</t>
        </is>
      </c>
      <c r="D85" s="75" t="inlineStr">
        <is>
          <t>15 / 32 / 20</t>
        </is>
      </c>
      <c r="E85" s="98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85" s="62" t="n">
        <v>20</v>
      </c>
      <c r="G85" s="93" t="n">
        <v>559</v>
      </c>
      <c r="H85" s="156" t="inlineStr">
        <is>
          <t>новинка</t>
        </is>
      </c>
      <c r="I85" s="127" t="n">
        <v>0</v>
      </c>
      <c r="J85" s="127">
        <f>PRODUCT(PRODUCT(F85:G85),I85)</f>
        <v/>
      </c>
    </row>
    <row r="86" hidden="1" s="201">
      <c r="A86" s="90" t="inlineStr">
        <is>
          <t>On The Bones Brewery г. Санкт-Петербург</t>
        </is>
      </c>
      <c r="B86" s="202" t="n"/>
      <c r="C86" s="202" t="n"/>
      <c r="D86" s="202" t="n"/>
      <c r="E86" s="202" t="n"/>
      <c r="F86" s="202" t="n"/>
      <c r="G86" s="202" t="n"/>
      <c r="H86" s="203" t="n"/>
      <c r="I86" s="90" t="n">
        <v>0</v>
      </c>
      <c r="J86" s="90" t="n"/>
    </row>
    <row r="87" hidden="1" s="201">
      <c r="A87" s="192" t="inlineStr">
        <is>
          <t>On The Bones</t>
        </is>
      </c>
      <c r="B87" s="32" t="inlineStr">
        <is>
          <t>Ласка нерпы</t>
        </is>
      </c>
      <c r="C87" s="75" t="inlineStr">
        <is>
          <t>Stout</t>
        </is>
      </c>
      <c r="D87" s="75" t="inlineStr">
        <is>
          <t>5,5 / 14 / 23</t>
        </is>
      </c>
      <c r="E87" s="98" t="inlineStr">
        <is>
          <t>Шоколадный солод, низкая горечь и небольшая крепость, мягкость и карамельная сладость в завершении.</t>
        </is>
      </c>
      <c r="F87" s="178" t="n">
        <v>20</v>
      </c>
      <c r="G87" s="52" t="n">
        <v>279</v>
      </c>
      <c r="H87" s="93" t="inlineStr">
        <is>
          <t>много</t>
        </is>
      </c>
      <c r="I87" s="127" t="n">
        <v>0</v>
      </c>
      <c r="J87" s="127">
        <f>PRODUCT(PRODUCT(F87:G87),I87)</f>
        <v/>
      </c>
    </row>
    <row r="88" hidden="1" s="201">
      <c r="A88" s="192" t="inlineStr">
        <is>
          <t>On The Bones</t>
        </is>
      </c>
      <c r="B88" s="32" t="inlineStr">
        <is>
          <t>ПРОСТ!</t>
        </is>
      </c>
      <c r="C88" s="75" t="inlineStr">
        <is>
          <t>Weizen</t>
        </is>
      </c>
      <c r="D88" s="75" t="inlineStr">
        <is>
          <t>4,7 / 12,3 / 11</t>
        </is>
      </c>
      <c r="E88" s="98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88" s="178" t="n">
        <v>20</v>
      </c>
      <c r="G88" s="52" t="n">
        <v>259</v>
      </c>
      <c r="H88" s="93" t="inlineStr">
        <is>
          <t>много</t>
        </is>
      </c>
      <c r="I88" s="127" t="n">
        <v>0</v>
      </c>
      <c r="J88" s="127">
        <f>PRODUCT(PRODUCT(F88:G88),I88)</f>
        <v/>
      </c>
    </row>
    <row r="89" hidden="1" s="201">
      <c r="A89" s="192" t="inlineStr">
        <is>
          <t>On The Bones</t>
        </is>
      </c>
      <c r="B89" s="32" t="inlineStr">
        <is>
          <t>Токсовский Трамплин</t>
        </is>
      </c>
      <c r="C89" s="75" t="inlineStr">
        <is>
          <t>IPA</t>
        </is>
      </c>
      <c r="D89" s="75" t="inlineStr">
        <is>
          <t>7 / 17 / 105</t>
        </is>
      </c>
      <c r="E89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89" s="178" t="n">
        <v>20</v>
      </c>
      <c r="G89" s="52" t="n">
        <v>319</v>
      </c>
      <c r="H89" s="93" t="inlineStr">
        <is>
          <t>много</t>
        </is>
      </c>
      <c r="I89" s="127" t="n">
        <v>0</v>
      </c>
      <c r="J89" s="127">
        <f>PRODUCT(PRODUCT(F89:G89),I89)</f>
        <v/>
      </c>
    </row>
    <row r="90" hidden="1" s="201">
      <c r="A90" s="144" t="inlineStr">
        <is>
          <t>Ostrovica г. Аша</t>
        </is>
      </c>
      <c r="B90" s="202" t="n"/>
      <c r="C90" s="202" t="n"/>
      <c r="D90" s="202" t="n"/>
      <c r="E90" s="202" t="n"/>
      <c r="F90" s="202" t="n"/>
      <c r="G90" s="202" t="n"/>
      <c r="H90" s="203" t="n"/>
      <c r="I90" s="144" t="n">
        <v>0</v>
      </c>
      <c r="J90" s="144" t="n"/>
    </row>
    <row r="91" hidden="1" s="201">
      <c r="A91" s="157" t="inlineStr">
        <is>
          <t>Ostrovica</t>
        </is>
      </c>
      <c r="B91" s="17" t="inlineStr">
        <is>
          <t>B-DAY Lager</t>
        </is>
      </c>
      <c r="C91" s="116" t="inlineStr">
        <is>
          <t>Lager</t>
        </is>
      </c>
      <c r="D91" s="116" t="inlineStr">
        <is>
          <t>4,9 / 12,5 / 25</t>
        </is>
      </c>
      <c r="E91" s="42" t="inlineStr">
        <is>
          <t>Лагер, охмелённый SAAZ, Motueka и Centennial.</t>
        </is>
      </c>
      <c r="F91" s="86" t="n">
        <v>20</v>
      </c>
      <c r="G91" s="92" t="n">
        <v>239</v>
      </c>
      <c r="H91" s="92" t="inlineStr">
        <is>
          <t>много</t>
        </is>
      </c>
      <c r="I91" s="127" t="n">
        <v>0</v>
      </c>
      <c r="J91" s="127">
        <f>PRODUCT(PRODUCT(F91:G91),I91)</f>
        <v/>
      </c>
    </row>
    <row r="92" hidden="1" s="201">
      <c r="A92" s="157" t="inlineStr">
        <is>
          <t>Ostrovica</t>
        </is>
      </c>
      <c r="B92" s="31" t="inlineStr">
        <is>
          <t>IPA</t>
        </is>
      </c>
      <c r="C92" s="116" t="inlineStr">
        <is>
          <t>IPA</t>
        </is>
      </c>
      <c r="D92" s="116" t="inlineStr">
        <is>
          <t>6,2 / 15 / 55</t>
        </is>
      </c>
      <c r="E92" s="42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92" s="86" t="n">
        <v>20</v>
      </c>
      <c r="G92" s="92" t="n">
        <v>299</v>
      </c>
      <c r="H92" s="92" t="inlineStr">
        <is>
          <t>много</t>
        </is>
      </c>
      <c r="I92" s="127" t="n">
        <v>0</v>
      </c>
      <c r="J92" s="127">
        <f>PRODUCT(PRODUCT(F92:G92),I92)</f>
        <v/>
      </c>
    </row>
    <row r="93" hidden="1" s="201">
      <c r="A93" s="157" t="inlineStr">
        <is>
          <t>Ostrovica</t>
        </is>
      </c>
      <c r="B93" s="83" t="inlineStr">
        <is>
          <t>Helles</t>
        </is>
      </c>
      <c r="C93" s="159" t="inlineStr">
        <is>
          <t>Helles</t>
        </is>
      </c>
      <c r="D93" s="86" t="inlineStr">
        <is>
          <t>4,5 / 12 / -</t>
        </is>
      </c>
      <c r="E93" s="152" t="inlineStr">
        <is>
      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      </is>
      </c>
      <c r="F93" s="86" t="n">
        <v>20</v>
      </c>
      <c r="G93" s="92" t="n">
        <v>215</v>
      </c>
      <c r="H93" s="92" t="inlineStr">
        <is>
          <t>много</t>
        </is>
      </c>
      <c r="I93" s="127" t="n">
        <v>0</v>
      </c>
      <c r="J93" s="127">
        <f>PRODUCT(PRODUCT(F93:G93),I93)</f>
        <v/>
      </c>
    </row>
    <row r="94" hidden="1" s="201">
      <c r="A94" s="157" t="inlineStr">
        <is>
          <t>Ostrovica</t>
        </is>
      </c>
      <c r="B94" s="31" t="inlineStr">
        <is>
          <t>Holy DIPA</t>
        </is>
      </c>
      <c r="C94" s="116" t="inlineStr">
        <is>
          <t>DIPA</t>
        </is>
      </c>
      <c r="D94" s="116" t="inlineStr">
        <is>
          <t>8,2 / 19 / 100</t>
        </is>
      </c>
      <c r="E94" s="42" t="inlineStr">
        <is>
          <t>Двойной индийский пэйл эль с ярким хмелевым ароматом и выраженной горечью. Охмеление: Simcoe, Citra, Cascade, Centennial.</t>
        </is>
      </c>
      <c r="F94" s="86" t="n">
        <v>20</v>
      </c>
      <c r="G94" s="92" t="n">
        <v>325</v>
      </c>
      <c r="H94" s="92" t="inlineStr">
        <is>
          <t>много</t>
        </is>
      </c>
      <c r="I94" s="127" t="n">
        <v>0</v>
      </c>
      <c r="J94" s="127">
        <f>PRODUCT(PRODUCT(F94:G94),I94)</f>
        <v/>
      </c>
    </row>
    <row r="95" hidden="1" s="201">
      <c r="A95" s="157" t="inlineStr">
        <is>
          <t>Ostrovica</t>
        </is>
      </c>
      <c r="B95" s="31" t="inlineStr">
        <is>
          <t>Juicy IPA</t>
        </is>
      </c>
      <c r="C95" s="116" t="inlineStr">
        <is>
          <t>NE IPA</t>
        </is>
      </c>
      <c r="D95" s="116" t="inlineStr">
        <is>
          <t>6,2 / 15 / -</t>
        </is>
      </c>
      <c r="E95" s="42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95" s="86" t="n">
        <v>20</v>
      </c>
      <c r="G95" s="92" t="n">
        <v>339</v>
      </c>
      <c r="H95" s="92" t="inlineStr">
        <is>
          <t>много</t>
        </is>
      </c>
      <c r="I95" s="127" t="n">
        <v>0</v>
      </c>
      <c r="J95" s="127">
        <f>PRODUCT(PRODUCT(F95:G95),I95)</f>
        <v/>
      </c>
    </row>
    <row r="96" hidden="1" s="201">
      <c r="A96" s="157" t="inlineStr">
        <is>
          <t>Ostrovica</t>
        </is>
      </c>
      <c r="B96" s="31" t="inlineStr">
        <is>
          <t>PILS</t>
        </is>
      </c>
      <c r="C96" s="116" t="inlineStr">
        <is>
          <t>Pilsner</t>
        </is>
      </c>
      <c r="D96" s="116" t="inlineStr">
        <is>
          <t>4,5 / 12 / 18</t>
        </is>
      </c>
      <c r="E96" s="42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96" s="86" t="n">
        <v>30</v>
      </c>
      <c r="G96" s="92" t="n">
        <v>180</v>
      </c>
      <c r="H96" s="127" t="inlineStr">
        <is>
          <t>акция</t>
        </is>
      </c>
      <c r="I96" s="127" t="n">
        <v>0</v>
      </c>
      <c r="J96" s="127">
        <f>PRODUCT(PRODUCT(F96:G96),I96)</f>
        <v/>
      </c>
    </row>
    <row r="97" hidden="1" s="201">
      <c r="A97" s="90" t="inlineStr">
        <is>
          <t>Red Button Brewery г. Москва</t>
        </is>
      </c>
      <c r="B97" s="202" t="n"/>
      <c r="C97" s="202" t="n"/>
      <c r="D97" s="202" t="n"/>
      <c r="E97" s="202" t="n"/>
      <c r="F97" s="202" t="n"/>
      <c r="G97" s="202" t="n"/>
      <c r="H97" s="203" t="n"/>
      <c r="I97" s="90" t="n">
        <v>0</v>
      </c>
      <c r="J97" s="90" t="n"/>
    </row>
    <row r="98" hidden="1" s="201">
      <c r="A98" s="192" t="inlineStr">
        <is>
          <t>Red Button</t>
        </is>
      </c>
      <c r="B98" s="83" t="inlineStr">
        <is>
          <t>Berry Sour Kitchen Black Currant, Mint</t>
        </is>
      </c>
      <c r="C98" s="18" t="inlineStr">
        <is>
          <t>Triple Sour Ale</t>
        </is>
      </c>
      <c r="D98" s="86" t="inlineStr">
        <is>
          <t>12 / - / -</t>
        </is>
      </c>
      <c r="E98" s="152" t="inlineStr">
        <is>
          <t>Тройной Саур с добавлением сока черной смородины и мяты.</t>
        </is>
      </c>
      <c r="F98" s="86" t="n">
        <v>20</v>
      </c>
      <c r="G98" s="92" t="n">
        <v>509</v>
      </c>
      <c r="H98" s="92" t="inlineStr">
        <is>
          <t>много</t>
        </is>
      </c>
      <c r="I98" s="127" t="n">
        <v>0</v>
      </c>
      <c r="J98" s="127">
        <f>PRODUCT(PRODUCT(F98:G98),I98)</f>
        <v/>
      </c>
    </row>
    <row r="99" hidden="1" s="201">
      <c r="A99" s="192" t="inlineStr">
        <is>
          <t>Red Button</t>
        </is>
      </c>
      <c r="B99" s="158" t="inlineStr">
        <is>
          <t>Most Wonderful Time 4 A Beer</t>
        </is>
      </c>
      <c r="C99" s="159" t="inlineStr">
        <is>
          <t>Milk Stout</t>
        </is>
      </c>
      <c r="D99" s="86" t="inlineStr">
        <is>
          <t>5 / - / 30</t>
        </is>
      </c>
      <c r="E99" s="152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99" s="62" t="n">
        <v>20</v>
      </c>
      <c r="G99" s="92" t="n">
        <v>349</v>
      </c>
      <c r="H99" s="93" t="inlineStr">
        <is>
          <t>много</t>
        </is>
      </c>
      <c r="I99" s="127" t="n">
        <v>0</v>
      </c>
      <c r="J99" s="127">
        <f>PRODUCT(PRODUCT(F99:G99),I99)</f>
        <v/>
      </c>
    </row>
    <row r="100" hidden="1" s="201">
      <c r="A100" s="192" t="inlineStr">
        <is>
          <t>Red Button</t>
        </is>
      </c>
      <c r="B100" s="83" t="inlineStr">
        <is>
          <t>Tropic Sour Kitchen</t>
        </is>
      </c>
      <c r="C100" s="18" t="inlineStr">
        <is>
          <t>Triple Sour Ale</t>
        </is>
      </c>
      <c r="D100" s="86" t="inlineStr">
        <is>
          <t>12 / - / -</t>
        </is>
      </c>
      <c r="E100" s="152" t="inlineStr">
        <is>
          <t>Тройной Саур с добавлением сока манго, банана, ананаса, апельсина, маракуйи и гуавы.</t>
        </is>
      </c>
      <c r="F100" s="86" t="n">
        <v>20</v>
      </c>
      <c r="G100" s="92" t="n">
        <v>509</v>
      </c>
      <c r="H100" s="92" t="inlineStr">
        <is>
          <t>много</t>
        </is>
      </c>
      <c r="I100" s="127" t="n">
        <v>0</v>
      </c>
      <c r="J100" s="127">
        <f>PRODUCT(PRODUCT(F100:G100),I100)</f>
        <v/>
      </c>
    </row>
    <row r="101" hidden="1" s="201">
      <c r="A101" s="90" t="inlineStr">
        <is>
          <t>Red Rocket Brewery г. Екатеринбург</t>
        </is>
      </c>
      <c r="B101" s="202" t="n"/>
      <c r="C101" s="202" t="n"/>
      <c r="D101" s="202" t="n"/>
      <c r="E101" s="202" t="n"/>
      <c r="F101" s="202" t="n"/>
      <c r="G101" s="202" t="n"/>
      <c r="H101" s="203" t="n"/>
      <c r="I101" s="90" t="n">
        <v>0</v>
      </c>
      <c r="J101" s="90" t="n"/>
    </row>
    <row r="102" hidden="1" s="201">
      <c r="A102" s="157" t="inlineStr">
        <is>
          <t>Red Rocket</t>
        </is>
      </c>
      <c r="B102" s="30" t="inlineStr">
        <is>
          <t>DIPA</t>
        </is>
      </c>
      <c r="C102" s="116" t="inlineStr">
        <is>
          <t>DIPA</t>
        </is>
      </c>
      <c r="D102" s="116" t="inlineStr">
        <is>
          <t>8 / 17 / 40</t>
        </is>
      </c>
      <c r="E102" s="42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02" s="86" t="n">
        <v>30</v>
      </c>
      <c r="G102" s="92" t="n">
        <v>295</v>
      </c>
      <c r="H102" s="92" t="inlineStr">
        <is>
          <t>много</t>
        </is>
      </c>
      <c r="I102" s="127" t="n">
        <v>0</v>
      </c>
      <c r="J102" s="127">
        <f>PRODUCT(PRODUCT(F102:G102),I102)</f>
        <v/>
      </c>
    </row>
    <row r="103" hidden="1" ht="17.25" customHeight="1" s="201">
      <c r="A103" s="157" t="inlineStr">
        <is>
          <t>Red Rocket</t>
        </is>
      </c>
      <c r="B103" s="160" t="inlineStr">
        <is>
          <t>Dry Nitro Stout</t>
        </is>
      </c>
      <c r="C103" s="161" t="inlineStr">
        <is>
          <t>Stout</t>
        </is>
      </c>
      <c r="D103" s="107" t="inlineStr">
        <is>
          <t xml:space="preserve">4,2 / - / - </t>
        </is>
      </c>
      <c r="E103" s="162" t="inlineStr">
        <is>
          <t>Сухой стаут в ирландском стиле. Насыщен азотом.</t>
        </is>
      </c>
      <c r="F103" s="107" t="n">
        <v>30</v>
      </c>
      <c r="G103" s="109" t="n">
        <v>209</v>
      </c>
      <c r="H103" s="109" t="inlineStr">
        <is>
          <t>много</t>
        </is>
      </c>
      <c r="I103" s="127" t="n">
        <v>0</v>
      </c>
      <c r="J103" s="127">
        <f>PRODUCT(PRODUCT(F103:G103),I103)</f>
        <v/>
      </c>
    </row>
    <row r="104" hidden="1" s="201">
      <c r="A104" s="157" t="inlineStr">
        <is>
          <t>Red Rocket</t>
        </is>
      </c>
      <c r="B104" s="118" t="inlineStr">
        <is>
          <t>Helles</t>
        </is>
      </c>
      <c r="C104" s="163" t="inlineStr">
        <is>
          <t>Lager</t>
        </is>
      </c>
      <c r="D104" s="119" t="inlineStr">
        <is>
          <t>5 / - / -</t>
        </is>
      </c>
      <c r="E104" s="164" t="inlineStr">
        <is>
          <t>Классический светлый лагер в немецком стиле.</t>
        </is>
      </c>
      <c r="F104" s="121" t="n">
        <v>30</v>
      </c>
      <c r="G104" s="123" t="n">
        <v>249</v>
      </c>
      <c r="H104" s="123" t="inlineStr">
        <is>
          <t>много</t>
        </is>
      </c>
      <c r="I104" s="127" t="n">
        <v>0</v>
      </c>
      <c r="J104" s="127">
        <f>PRODUCT(PRODUCT(F104:G104),I104)</f>
        <v/>
      </c>
    </row>
    <row r="105" hidden="1" s="201">
      <c r="A105" s="157" t="inlineStr">
        <is>
          <t>Red Rocket</t>
        </is>
      </c>
      <c r="B105" s="31" t="inlineStr">
        <is>
          <t>HOPPY LAGER</t>
        </is>
      </c>
      <c r="C105" s="79" t="inlineStr">
        <is>
          <t>Lager</t>
        </is>
      </c>
      <c r="D105" s="79" t="inlineStr">
        <is>
          <t>5 / 12 / 35</t>
        </is>
      </c>
      <c r="E105" s="64" t="inlineStr">
        <is>
          <t>Hoppy Lager - продолжение обновления базовой линейки, охмеленный Centennial.</t>
        </is>
      </c>
      <c r="F105" s="62" t="n">
        <v>30</v>
      </c>
      <c r="G105" s="93" t="n">
        <v>275</v>
      </c>
      <c r="H105" s="48" t="n">
        <v>1</v>
      </c>
      <c r="I105" s="127" t="n">
        <v>0</v>
      </c>
      <c r="J105" s="127">
        <f>PRODUCT(PRODUCT(F105:G105),I105)</f>
        <v/>
      </c>
    </row>
    <row r="106" hidden="1" s="201">
      <c r="A106" s="157" t="inlineStr">
        <is>
          <t>Red Rocket</t>
        </is>
      </c>
      <c r="B106" s="31" t="inlineStr">
        <is>
          <t>Pils</t>
        </is>
      </c>
      <c r="C106" s="79" t="inlineStr">
        <is>
          <t>Lager</t>
        </is>
      </c>
      <c r="D106" s="79" t="inlineStr">
        <is>
          <t>4,5 / - / -</t>
        </is>
      </c>
      <c r="E106" s="64" t="inlineStr">
        <is>
          <t>Классический светлый лагер в чешском стиле.</t>
        </is>
      </c>
      <c r="F106" s="62" t="n">
        <v>30</v>
      </c>
      <c r="G106" s="93" t="n">
        <v>249</v>
      </c>
      <c r="H106" s="93" t="inlineStr">
        <is>
          <t>много</t>
        </is>
      </c>
      <c r="I106" s="127" t="n">
        <v>0</v>
      </c>
      <c r="J106" s="127">
        <f>PRODUCT(PRODUCT(F106:G106),I106)</f>
        <v/>
      </c>
    </row>
    <row r="107" hidden="1" s="201">
      <c r="A107" s="157" t="inlineStr">
        <is>
          <t>Red Rocket</t>
        </is>
      </c>
      <c r="B107" s="30" t="inlineStr">
        <is>
          <t>Transistor</t>
        </is>
      </c>
      <c r="C107" s="116" t="inlineStr">
        <is>
          <t>Hazy IPA</t>
        </is>
      </c>
      <c r="D107" s="116" t="inlineStr">
        <is>
          <t>6,5 / 14,5 / 45</t>
        </is>
      </c>
      <c r="E107" s="42" t="inlineStr">
        <is>
          <t>Hazy India Pale Ale, охмеление - Citra, Superdelic, Motueka.</t>
        </is>
      </c>
      <c r="F107" s="86" t="n">
        <v>30</v>
      </c>
      <c r="G107" s="92" t="n">
        <v>355</v>
      </c>
      <c r="H107" s="127" t="inlineStr">
        <is>
          <t>новинка</t>
        </is>
      </c>
      <c r="I107" s="127" t="n">
        <v>0</v>
      </c>
      <c r="J107" s="127">
        <f>PRODUCT(PRODUCT(F107:G107),I107)</f>
        <v/>
      </c>
    </row>
    <row r="108" hidden="1" s="201">
      <c r="A108" s="90" t="inlineStr">
        <is>
          <t>Selfmade Brewery г. Москва</t>
        </is>
      </c>
      <c r="B108" s="202" t="n"/>
      <c r="C108" s="202" t="n"/>
      <c r="D108" s="202" t="n"/>
      <c r="E108" s="202" t="n"/>
      <c r="F108" s="202" t="n"/>
      <c r="G108" s="202" t="n"/>
      <c r="H108" s="203" t="n"/>
      <c r="I108" s="90" t="n">
        <v>0</v>
      </c>
      <c r="J108" s="90" t="n"/>
    </row>
    <row r="109" hidden="1" s="201">
      <c r="A109" s="174" t="inlineStr">
        <is>
          <t>Selfmade</t>
        </is>
      </c>
      <c r="B109" s="31" t="inlineStr">
        <is>
          <t>Arcane Gleam</t>
        </is>
      </c>
      <c r="C109" s="116" t="inlineStr">
        <is>
          <t>NE IPA</t>
        </is>
      </c>
      <c r="D109" s="116" t="inlineStr">
        <is>
          <t>6,5 / 17 / 42</t>
        </is>
      </c>
      <c r="E109" s="42" t="inlineStr">
        <is>
          <t>New England IPA. Охмеление - HBC 638, HBC 1134 и Krush Cryo.</t>
        </is>
      </c>
      <c r="F109" s="116" t="n">
        <v>20</v>
      </c>
      <c r="G109" s="49" t="n">
        <v>445</v>
      </c>
      <c r="H109" s="127" t="inlineStr">
        <is>
          <t>новинка</t>
        </is>
      </c>
      <c r="I109" s="127" t="n">
        <v>0</v>
      </c>
      <c r="J109" s="127">
        <f>PRODUCT(PRODUCT(F109:G109),I109)</f>
        <v/>
      </c>
    </row>
    <row r="110" hidden="1" s="201">
      <c r="A110" s="174" t="inlineStr">
        <is>
          <t>Selfmade</t>
        </is>
      </c>
      <c r="B110" s="31" t="inlineStr">
        <is>
          <t>Milk Star</t>
        </is>
      </c>
      <c r="C110" s="116" t="inlineStr">
        <is>
          <t>Milk Stout</t>
        </is>
      </c>
      <c r="D110" s="116" t="inlineStr">
        <is>
          <t>5,6 / - / 24</t>
        </is>
      </c>
      <c r="E110" s="42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10" s="116" t="n">
        <v>20</v>
      </c>
      <c r="G110" s="49" t="n">
        <v>255</v>
      </c>
      <c r="H110" s="92" t="inlineStr">
        <is>
          <t>много</t>
        </is>
      </c>
      <c r="I110" s="127" t="n">
        <v>0</v>
      </c>
      <c r="J110" s="127">
        <f>PRODUCT(PRODUCT(F110:G110),I110)</f>
        <v/>
      </c>
    </row>
    <row r="111" hidden="1" s="201">
      <c r="A111" s="174" t="inlineStr">
        <is>
          <t>Selfmade</t>
        </is>
      </c>
      <c r="B111" s="31" t="inlineStr">
        <is>
          <t>Rocket Jump</t>
        </is>
      </c>
      <c r="C111" s="116" t="inlineStr">
        <is>
          <t>AIPA</t>
        </is>
      </c>
      <c r="D111" s="116" t="inlineStr">
        <is>
          <t>6,3 / 15 / 49</t>
        </is>
      </c>
      <c r="E111" s="42" t="inlineStr">
        <is>
          <t>American IPA с добавлением цедры лайма и лимона, охмеленный Citra, Lemon Drop, Warrior, Cascade.</t>
        </is>
      </c>
      <c r="F111" s="116" t="n">
        <v>20</v>
      </c>
      <c r="G111" s="49" t="n">
        <v>339</v>
      </c>
      <c r="H111" s="92" t="inlineStr">
        <is>
          <t>много</t>
        </is>
      </c>
      <c r="I111" s="127" t="n">
        <v>0</v>
      </c>
      <c r="J111" s="127">
        <f>PRODUCT(PRODUCT(F111:G111),I111)</f>
        <v/>
      </c>
    </row>
    <row r="112" hidden="1" s="201">
      <c r="A112" s="174" t="inlineStr">
        <is>
          <t>Selfmade</t>
        </is>
      </c>
      <c r="B112" s="31" t="inlineStr">
        <is>
          <t>Selfmade Pilsner</t>
        </is>
      </c>
      <c r="C112" s="116" t="inlineStr">
        <is>
          <t>Pilsner</t>
        </is>
      </c>
      <c r="D112" s="116" t="inlineStr">
        <is>
          <t>5 / 12 / 32</t>
        </is>
      </c>
      <c r="E112" s="42" t="inlineStr">
        <is>
          <t>Классический Pilsner.</t>
        </is>
      </c>
      <c r="F112" s="116" t="n">
        <v>20</v>
      </c>
      <c r="G112" s="49" t="n">
        <v>219</v>
      </c>
      <c r="H112" s="76" t="n">
        <v>1</v>
      </c>
      <c r="I112" s="127" t="n">
        <v>0</v>
      </c>
      <c r="J112" s="127">
        <f>PRODUCT(PRODUCT(F112:G112),I112)</f>
        <v/>
      </c>
    </row>
    <row r="113" hidden="1" s="201">
      <c r="A113" s="174" t="inlineStr">
        <is>
          <t>Selfmade</t>
        </is>
      </c>
      <c r="B113" s="31" t="inlineStr">
        <is>
          <t>Tomato Method</t>
        </is>
      </c>
      <c r="C113" s="116" t="inlineStr">
        <is>
          <t>Tomato Gose</t>
        </is>
      </c>
      <c r="D113" s="116" t="inlineStr">
        <is>
          <t>5,6 / 17 / 12</t>
        </is>
      </c>
      <c r="E113" s="42" t="inlineStr">
        <is>
          <t>Tomato Method в стиле томатного гозе выполнен с добавлением большого количества томатной пасты и специй.</t>
        </is>
      </c>
      <c r="F113" s="116" t="n">
        <v>20</v>
      </c>
      <c r="G113" s="49" t="n">
        <v>335</v>
      </c>
      <c r="H113" s="92" t="inlineStr">
        <is>
          <t>много</t>
        </is>
      </c>
      <c r="I113" s="127" t="n">
        <v>0</v>
      </c>
      <c r="J113" s="127">
        <f>PRODUCT(PRODUCT(F113:G113),I113)</f>
        <v/>
      </c>
    </row>
    <row r="114" hidden="1" s="201">
      <c r="A114" s="90" t="inlineStr">
        <is>
          <t>Snowcap Brewing г. Петрозаводск</t>
        </is>
      </c>
      <c r="B114" s="202" t="n"/>
      <c r="C114" s="202" t="n"/>
      <c r="D114" s="202" t="n"/>
      <c r="E114" s="202" t="n"/>
      <c r="F114" s="202" t="n"/>
      <c r="G114" s="202" t="n"/>
      <c r="H114" s="203" t="n"/>
      <c r="I114" s="90" t="n">
        <v>0</v>
      </c>
      <c r="J114" s="90" t="n"/>
    </row>
    <row r="115" hidden="1" s="201">
      <c r="A115" s="192" t="inlineStr">
        <is>
          <t>Snowcap Brewing</t>
        </is>
      </c>
      <c r="B115" s="31" t="inlineStr">
        <is>
          <t>Muapolku</t>
        </is>
      </c>
      <c r="C115" s="18" t="inlineStr">
        <is>
          <t>New Zealand Pilsner</t>
        </is>
      </c>
      <c r="D115" s="116" t="inlineStr">
        <is>
          <t>5,5 / 11,5 / 38</t>
        </is>
      </c>
      <c r="E115" s="42" t="inlineStr">
        <is>
          <t>Muapolku(Тропа Моа) - новозеландский пилснер, охмеленный Southern Cross и Motueka Amplifire.</t>
        </is>
      </c>
      <c r="F115" s="116" t="n">
        <v>20</v>
      </c>
      <c r="G115" s="49" t="n">
        <v>325</v>
      </c>
      <c r="H115" s="127" t="inlineStr">
        <is>
          <t>новинка</t>
        </is>
      </c>
      <c r="I115" s="127" t="n">
        <v>0</v>
      </c>
      <c r="J115" s="127">
        <f>PRODUCT(PRODUCT(F115:G115),I115)</f>
        <v/>
      </c>
    </row>
    <row r="116" hidden="1" s="201">
      <c r="A116" s="90" t="inlineStr">
        <is>
          <t>Stamm Brewing г. Москва</t>
        </is>
      </c>
      <c r="B116" s="202" t="n"/>
      <c r="C116" s="202" t="n"/>
      <c r="D116" s="202" t="n"/>
      <c r="E116" s="202" t="n"/>
      <c r="F116" s="202" t="n"/>
      <c r="G116" s="202" t="n"/>
      <c r="H116" s="203" t="n"/>
      <c r="I116" s="90" t="n">
        <v>0</v>
      </c>
      <c r="J116" s="90" t="n"/>
    </row>
    <row r="117" hidden="1" s="201">
      <c r="A117" s="192" t="inlineStr">
        <is>
          <t>Stamm Brewing</t>
        </is>
      </c>
      <c r="B117" s="17" t="inlineStr">
        <is>
          <t>American Pale Ale</t>
        </is>
      </c>
      <c r="C117" s="18" t="inlineStr">
        <is>
          <t>APA</t>
        </is>
      </c>
      <c r="D117" s="116" t="inlineStr">
        <is>
          <t>4,7 / 13 / 25</t>
        </is>
      </c>
      <c r="E117" s="42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17" s="116" t="n">
        <v>20</v>
      </c>
      <c r="G117" s="49" t="n">
        <v>329</v>
      </c>
      <c r="H117" s="92" t="inlineStr">
        <is>
          <t>много</t>
        </is>
      </c>
      <c r="I117" s="127" t="n">
        <v>0</v>
      </c>
      <c r="J117" s="127">
        <f>PRODUCT(PRODUCT(F117:G117),I117)</f>
        <v/>
      </c>
    </row>
    <row r="118" hidden="1" s="201">
      <c r="A118" s="192" t="inlineStr">
        <is>
          <t>Stamm Brewing</t>
        </is>
      </c>
      <c r="B118" s="31" t="inlineStr">
        <is>
          <t>Beeswax</t>
        </is>
      </c>
      <c r="C118" s="116" t="inlineStr">
        <is>
          <t>NE DIPA</t>
        </is>
      </c>
      <c r="D118" s="116" t="inlineStr">
        <is>
          <t>8 / 18 / -</t>
        </is>
      </c>
      <c r="E118" s="42" t="inlineStr">
        <is>
          <t>New England Double IPA охмелённый Citra и Simcoe.</t>
        </is>
      </c>
      <c r="F118" s="116" t="n">
        <v>20</v>
      </c>
      <c r="G118" s="49" t="n">
        <v>495</v>
      </c>
      <c r="H118" s="76" t="n">
        <v>1</v>
      </c>
      <c r="I118" s="127" t="n">
        <v>0</v>
      </c>
      <c r="J118" s="127">
        <f>PRODUCT(PRODUCT(F118:G118),I118)</f>
        <v/>
      </c>
    </row>
    <row r="119" hidden="1" s="201">
      <c r="A119" s="192" t="inlineStr">
        <is>
          <t>Stamm Brewing</t>
        </is>
      </c>
      <c r="B119" s="17" t="inlineStr">
        <is>
          <t xml:space="preserve">Ghostly Caravan </t>
        </is>
      </c>
      <c r="C119" s="79" t="inlineStr">
        <is>
          <t>NE DIPA</t>
        </is>
      </c>
      <c r="D119" s="79" t="inlineStr">
        <is>
          <t>8 / - / -</t>
        </is>
      </c>
      <c r="E119" s="165" t="inlineStr">
        <is>
          <t>New England DIPA охмелённый Cashmere &amp; Citra.</t>
        </is>
      </c>
      <c r="F119" s="79" t="n">
        <v>20</v>
      </c>
      <c r="G119" s="52" t="n">
        <v>495</v>
      </c>
      <c r="H119" s="76" t="n">
        <v>1</v>
      </c>
      <c r="I119" s="127" t="n">
        <v>0</v>
      </c>
      <c r="J119" s="127">
        <f>PRODUCT(PRODUCT(F119:G119),I119)</f>
        <v/>
      </c>
    </row>
    <row r="120" hidden="1" s="201">
      <c r="A120" s="192" t="inlineStr">
        <is>
          <t>Stamm Brewing</t>
        </is>
      </c>
      <c r="B120" s="31" t="inlineStr">
        <is>
          <t>Limit Break</t>
        </is>
      </c>
      <c r="C120" s="116" t="inlineStr">
        <is>
          <t>Triple NE IPA</t>
        </is>
      </c>
      <c r="D120" s="116" t="inlineStr">
        <is>
          <t>9,5 / 22 / -</t>
        </is>
      </c>
      <c r="E120" s="42" t="inlineStr">
        <is>
          <t>NE Triple IPA, охмелённый Citra, Mosaic и Simcoe.</t>
        </is>
      </c>
      <c r="F120" s="116" t="n">
        <v>20</v>
      </c>
      <c r="G120" s="49" t="n">
        <v>549</v>
      </c>
      <c r="H120" s="127" t="inlineStr">
        <is>
          <t>новинка</t>
        </is>
      </c>
      <c r="I120" s="127" t="n">
        <v>0</v>
      </c>
      <c r="J120" s="127">
        <f>PRODUCT(PRODUCT(F120:G120),I120)</f>
        <v/>
      </c>
    </row>
    <row r="121" hidden="1" s="201">
      <c r="A121" s="192" t="inlineStr">
        <is>
          <t>Stamm Brewing</t>
        </is>
      </c>
      <c r="B121" s="31" t="inlineStr">
        <is>
          <t>Lone Sword</t>
        </is>
      </c>
      <c r="C121" s="116" t="inlineStr">
        <is>
          <t>AIPA</t>
        </is>
      </c>
      <c r="D121" s="116" t="inlineStr">
        <is>
          <t>6,5 / 15,5 / -</t>
        </is>
      </c>
      <c r="E121" s="42" t="inlineStr">
        <is>
          <t>American IPA, охмелённый Simcoe, Talus, Ekuanot.</t>
        </is>
      </c>
      <c r="F121" s="116" t="n">
        <v>20</v>
      </c>
      <c r="G121" s="49" t="n">
        <v>435</v>
      </c>
      <c r="H121" s="127" t="inlineStr">
        <is>
          <t>новинка</t>
        </is>
      </c>
      <c r="I121" s="127" t="n">
        <v>0</v>
      </c>
      <c r="J121" s="127">
        <f>PRODUCT(PRODUCT(F121:G121),I121)</f>
        <v/>
      </c>
    </row>
    <row r="122" hidden="1" s="201">
      <c r="A122" s="192" t="inlineStr">
        <is>
          <t>Stamm Brewing</t>
        </is>
      </c>
      <c r="B122" s="31" t="inlineStr">
        <is>
          <t>Off the Pond</t>
        </is>
      </c>
      <c r="C122" s="116" t="inlineStr">
        <is>
          <t>NE IPA</t>
        </is>
      </c>
      <c r="D122" s="116" t="inlineStr">
        <is>
          <t>7 / 17 / -</t>
        </is>
      </c>
      <c r="E122" s="42" t="inlineStr">
        <is>
          <t>New England IPA охмелённый HBC 638, Talus, Citra.</t>
        </is>
      </c>
      <c r="F122" s="116" t="n">
        <v>20</v>
      </c>
      <c r="G122" s="49" t="n">
        <v>465</v>
      </c>
      <c r="H122" s="92" t="inlineStr">
        <is>
          <t>много</t>
        </is>
      </c>
      <c r="I122" s="127" t="n">
        <v>0</v>
      </c>
      <c r="J122" s="127">
        <f>PRODUCT(PRODUCT(F122:G122),I122)</f>
        <v/>
      </c>
    </row>
    <row r="123" hidden="1" s="201">
      <c r="A123" s="192" t="inlineStr">
        <is>
          <t>Stamm Brewing</t>
        </is>
      </c>
      <c r="B123" s="31" t="inlineStr">
        <is>
          <t>Rauchzart</t>
        </is>
      </c>
      <c r="C123" s="116" t="inlineStr">
        <is>
          <t>Rauchbier</t>
        </is>
      </c>
      <c r="D123" s="116" t="inlineStr">
        <is>
          <t>5,3 / 13 / -</t>
        </is>
      </c>
      <c r="E123" s="42" t="inlineStr">
        <is>
          <t>Наше прочтение раухбира, копчёного лагера.</t>
        </is>
      </c>
      <c r="F123" s="116" t="n">
        <v>20</v>
      </c>
      <c r="G123" s="49" t="n">
        <v>329</v>
      </c>
      <c r="H123" s="127" t="inlineStr">
        <is>
          <t>новинка</t>
        </is>
      </c>
      <c r="I123" s="127" t="n">
        <v>0</v>
      </c>
      <c r="J123" s="127">
        <f>PRODUCT(PRODUCT(F123:G123),I123)</f>
        <v/>
      </c>
    </row>
    <row r="124" hidden="1" s="201">
      <c r="A124" s="192" t="inlineStr">
        <is>
          <t>Stamm Brewing</t>
        </is>
      </c>
      <c r="B124" s="31" t="inlineStr">
        <is>
          <t>Sombra Blanca</t>
        </is>
      </c>
      <c r="C124" s="116" t="inlineStr">
        <is>
          <t>NE DIPA</t>
        </is>
      </c>
      <c r="D124" s="116" t="inlineStr">
        <is>
          <t>8 / 18 / -</t>
        </is>
      </c>
      <c r="E124" s="42" t="inlineStr">
        <is>
          <t>New England DIPA охмелённый Simcoe, Krush, Cashmere.</t>
        </is>
      </c>
      <c r="F124" s="116" t="n">
        <v>20</v>
      </c>
      <c r="G124" s="49" t="n">
        <v>495</v>
      </c>
      <c r="H124" s="76" t="n">
        <v>1</v>
      </c>
      <c r="I124" s="127" t="n">
        <v>0</v>
      </c>
      <c r="J124" s="127">
        <f>PRODUCT(PRODUCT(F124:G124),I124)</f>
        <v/>
      </c>
    </row>
    <row r="125" hidden="1" s="201">
      <c r="A125" s="192" t="inlineStr">
        <is>
          <t>Stamm Brewing</t>
        </is>
      </c>
      <c r="B125" s="17" t="inlineStr">
        <is>
          <t>Straßenbahn</t>
        </is>
      </c>
      <c r="C125" s="79" t="inlineStr">
        <is>
          <t>Hefeweizen</t>
        </is>
      </c>
      <c r="D125" s="79" t="inlineStr">
        <is>
          <t xml:space="preserve">4,5 / 12 / - </t>
        </is>
      </c>
      <c r="E125" s="16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25" s="79" t="n">
        <v>20</v>
      </c>
      <c r="G125" s="52" t="n">
        <v>289</v>
      </c>
      <c r="H125" s="92" t="inlineStr">
        <is>
          <t>много</t>
        </is>
      </c>
      <c r="I125" s="127" t="n">
        <v>0</v>
      </c>
      <c r="J125" s="127">
        <f>PRODUCT(PRODUCT(F125:G125),I125)</f>
        <v/>
      </c>
    </row>
    <row r="126">
      <c r="A126" s="192" t="inlineStr">
        <is>
          <t>Stamm Brewing</t>
        </is>
      </c>
      <c r="B126" s="31" t="inlineStr">
        <is>
          <t>Straßenbahn Dunkelweizen</t>
        </is>
      </c>
      <c r="C126" s="116" t="inlineStr">
        <is>
          <t>Dunkelweizen</t>
        </is>
      </c>
      <c r="D126" s="116" t="inlineStr">
        <is>
          <t>5,5 / - / -</t>
        </is>
      </c>
      <c r="E126" s="42" t="inlineStr">
        <is>
          <t>Тёмная версия всем знакомого пшеничного StraBenbahn.</t>
        </is>
      </c>
      <c r="F126" s="116" t="n">
        <v>20</v>
      </c>
      <c r="G126" s="49" t="n">
        <v>289</v>
      </c>
      <c r="H126" s="92" t="inlineStr">
        <is>
          <t>много</t>
        </is>
      </c>
      <c r="I126" s="127" t="n">
        <v>0</v>
      </c>
      <c r="J126" s="127">
        <f>PRODUCT(PRODUCT(F126:G126),I126)</f>
        <v/>
      </c>
    </row>
    <row r="127" hidden="1" s="201">
      <c r="A127" s="192" t="inlineStr">
        <is>
          <t>Stamm Brewing</t>
        </is>
      </c>
      <c r="B127" s="31" t="inlineStr">
        <is>
          <t>Your Freak Lordship</t>
        </is>
      </c>
      <c r="C127" s="116" t="inlineStr">
        <is>
          <t>Lager</t>
        </is>
      </c>
      <c r="D127" s="116" t="inlineStr">
        <is>
          <t>4,7 / 12 / -</t>
        </is>
      </c>
      <c r="E127" s="42" t="inlineStr">
        <is>
          <t>Тиолизированная и охмеленная версия флагманского лагера.</t>
        </is>
      </c>
      <c r="F127" s="116" t="n">
        <v>20</v>
      </c>
      <c r="G127" s="49" t="n">
        <v>329</v>
      </c>
      <c r="H127" s="76" t="n">
        <v>1</v>
      </c>
      <c r="I127" s="127" t="n">
        <v>0</v>
      </c>
      <c r="J127" s="127">
        <f>PRODUCT(PRODUCT(F127:G127),I127)</f>
        <v/>
      </c>
    </row>
    <row r="128" hidden="1" s="201">
      <c r="A128" s="192" t="inlineStr">
        <is>
          <t>Stamm Brewing</t>
        </is>
      </c>
      <c r="B128" s="31" t="inlineStr">
        <is>
          <t>Your Young Lordship</t>
        </is>
      </c>
      <c r="C128" s="18" t="inlineStr">
        <is>
          <t>Pilsner</t>
        </is>
      </c>
      <c r="D128" s="116" t="inlineStr">
        <is>
          <t>4,7 / 12 / -</t>
        </is>
      </c>
      <c r="E128" s="42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28" s="116" t="n">
        <v>20</v>
      </c>
      <c r="G128" s="49" t="n">
        <v>289</v>
      </c>
      <c r="H128" s="92" t="inlineStr">
        <is>
          <t>много</t>
        </is>
      </c>
      <c r="I128" s="127" t="n">
        <v>0</v>
      </c>
      <c r="J128" s="127">
        <f>PRODUCT(PRODUCT(F128:G128),I128)</f>
        <v/>
      </c>
    </row>
    <row r="129" hidden="1" s="201">
      <c r="A129" s="90" t="inlineStr">
        <is>
          <t>Steppe &amp; Wind Meadery г. Оренбург</t>
        </is>
      </c>
      <c r="B129" s="202" t="n"/>
      <c r="C129" s="202" t="n"/>
      <c r="D129" s="202" t="n"/>
      <c r="E129" s="202" t="n"/>
      <c r="F129" s="202" t="n"/>
      <c r="G129" s="202" t="n"/>
      <c r="H129" s="203" t="n"/>
      <c r="I129" s="90" t="n">
        <v>0</v>
      </c>
      <c r="J129" s="90" t="n"/>
    </row>
    <row r="130" hidden="1" s="201">
      <c r="A130" s="174" t="inlineStr">
        <is>
          <t>Steppe &amp; Wind</t>
        </is>
      </c>
      <c r="B130" s="128" t="inlineStr">
        <is>
          <t>Black Currant Mead</t>
        </is>
      </c>
      <c r="C130" s="41" t="inlineStr">
        <is>
          <t>Mead</t>
        </is>
      </c>
      <c r="D130" s="112" t="inlineStr">
        <is>
          <t>6 / - / -</t>
        </is>
      </c>
      <c r="E130" s="129" t="inlineStr">
        <is>
          <t>Луговой мёд с соком чёрной смородины, более сладкий, чем ежевика или вишня.</t>
        </is>
      </c>
      <c r="F130" s="116" t="n">
        <v>20</v>
      </c>
      <c r="G130" s="49" t="n">
        <v>325</v>
      </c>
      <c r="H130" s="76" t="n">
        <v>1</v>
      </c>
      <c r="I130" s="127" t="n">
        <v>0</v>
      </c>
      <c r="J130" s="127">
        <f>PRODUCT(PRODUCT(F130:G130),I130)</f>
        <v/>
      </c>
    </row>
    <row r="131" hidden="1" s="201">
      <c r="A131" s="174" t="inlineStr">
        <is>
          <t>Steppe &amp; Wind</t>
        </is>
      </c>
      <c r="B131" s="83" t="inlineStr">
        <is>
          <t>Blueberry and Vanilla Mead</t>
        </is>
      </c>
      <c r="C131" s="159" t="inlineStr">
        <is>
          <t>Mead</t>
        </is>
      </c>
      <c r="D131" s="86" t="inlineStr">
        <is>
          <t>6 / - / -</t>
        </is>
      </c>
      <c r="E131" s="152" t="inlineStr">
        <is>
          <t>Мёд, черничной сок и ваниль. В меру сладко и терпко, с приятным ароматом ванили.</t>
        </is>
      </c>
      <c r="F131" s="116" t="n">
        <v>20</v>
      </c>
      <c r="G131" s="49" t="n">
        <v>379</v>
      </c>
      <c r="H131" s="76" t="n">
        <v>1</v>
      </c>
      <c r="I131" s="127" t="n">
        <v>0</v>
      </c>
      <c r="J131" s="127">
        <f>PRODUCT(PRODUCT(F131:G131),I131)</f>
        <v/>
      </c>
    </row>
    <row r="132" hidden="1" s="201">
      <c r="A132" s="174" t="inlineStr">
        <is>
          <t>Steppe &amp; Wind</t>
        </is>
      </c>
      <c r="B132" s="31" t="inlineStr">
        <is>
          <t>Traditional Mead</t>
        </is>
      </c>
      <c r="C132" s="18" t="inlineStr">
        <is>
          <t>Mead</t>
        </is>
      </c>
      <c r="D132" s="116" t="inlineStr">
        <is>
          <t xml:space="preserve">4,5 / - / - </t>
        </is>
      </c>
      <c r="E132" s="42" t="inlineStr">
        <is>
          <t>Базовый мид из цветочного мёда сброженный с дубовой щепой. Медовуха, как она есть.</t>
        </is>
      </c>
      <c r="F132" s="116" t="n">
        <v>20</v>
      </c>
      <c r="G132" s="49" t="n">
        <v>219</v>
      </c>
      <c r="H132" s="92" t="inlineStr">
        <is>
          <t>много</t>
        </is>
      </c>
      <c r="I132" s="127" t="n">
        <v>0</v>
      </c>
      <c r="J132" s="127">
        <f>PRODUCT(PRODUCT(F132:G132),I132)</f>
        <v/>
      </c>
    </row>
    <row r="133" hidden="1" s="201">
      <c r="A133" s="90" t="inlineStr">
        <is>
          <t>Switch Brewing г. Санкт-Петербург</t>
        </is>
      </c>
      <c r="B133" s="202" t="n"/>
      <c r="C133" s="202" t="n"/>
      <c r="D133" s="202" t="n"/>
      <c r="E133" s="202" t="n"/>
      <c r="F133" s="202" t="n"/>
      <c r="G133" s="202" t="n"/>
      <c r="H133" s="203" t="n"/>
      <c r="I133" s="90" t="n">
        <v>0</v>
      </c>
      <c r="J133" s="90" t="n"/>
    </row>
    <row r="134" hidden="1" s="201">
      <c r="A134" s="192" t="inlineStr">
        <is>
          <t>Switch Brewing</t>
        </is>
      </c>
      <c r="B134" s="31" t="inlineStr">
        <is>
          <t>Academic Pizzicato</t>
        </is>
      </c>
      <c r="C134" s="63" t="inlineStr">
        <is>
          <t>Lager</t>
        </is>
      </c>
      <c r="D134" s="63" t="inlineStr">
        <is>
          <t>5 / 12 / 30</t>
        </is>
      </c>
      <c r="E134" s="166" t="inlineStr">
        <is>
          <t>Американский лагер приуроченный к 10му, юбилейному, фестивалю Sib Craft Fest, сваренный совместно с Gusi Brewery. Dry Hop - Citra.</t>
        </is>
      </c>
      <c r="F134" s="79" t="n">
        <v>20</v>
      </c>
      <c r="G134" s="52" t="n">
        <v>325</v>
      </c>
      <c r="H134" s="76" t="n">
        <v>1</v>
      </c>
      <c r="I134" s="127" t="n">
        <v>0</v>
      </c>
      <c r="J134" s="127">
        <f>PRODUCT(PRODUCT(F134:G134),I134)</f>
        <v/>
      </c>
    </row>
    <row r="135" hidden="1" s="201">
      <c r="A135" s="90" t="inlineStr">
        <is>
          <t>Zagovor г. Москва</t>
        </is>
      </c>
      <c r="B135" s="202" t="n"/>
      <c r="C135" s="202" t="n"/>
      <c r="D135" s="202" t="n"/>
      <c r="E135" s="202" t="n"/>
      <c r="F135" s="202" t="n"/>
      <c r="G135" s="202" t="n"/>
      <c r="H135" s="203" t="n"/>
      <c r="I135" s="90" t="n">
        <v>0</v>
      </c>
      <c r="J135" s="90" t="n"/>
    </row>
    <row r="136" hidden="1" s="201">
      <c r="A136" s="192" t="inlineStr">
        <is>
          <t>Zagovor</t>
        </is>
      </c>
      <c r="B136" s="31" t="inlineStr">
        <is>
          <t>Hot Wax</t>
        </is>
      </c>
      <c r="C136" s="86" t="inlineStr">
        <is>
          <t>NE DIPA</t>
        </is>
      </c>
      <c r="D136" s="86" t="inlineStr">
        <is>
          <t>8 / 19 / 40</t>
        </is>
      </c>
      <c r="E136" s="42" t="inlineStr">
        <is>
          <t>DDH New England Double IPA. Охмеление - Citra и Galaxy.</t>
        </is>
      </c>
      <c r="F136" s="86" t="n">
        <v>20</v>
      </c>
      <c r="G136" s="92" t="n">
        <v>579</v>
      </c>
      <c r="H136" s="92" t="inlineStr">
        <is>
          <t>много</t>
        </is>
      </c>
      <c r="I136" s="127" t="n">
        <v>0</v>
      </c>
      <c r="J136" s="127">
        <f>PRODUCT(PRODUCT(F136:G136),I136)</f>
        <v/>
      </c>
    </row>
    <row r="137" hidden="1" s="201">
      <c r="A137" s="192" t="inlineStr">
        <is>
          <t>Zagovor</t>
        </is>
      </c>
      <c r="B137" s="83" t="inlineStr">
        <is>
          <t>NITRO Scratch</t>
        </is>
      </c>
      <c r="C137" s="159" t="inlineStr">
        <is>
          <t>Stout</t>
        </is>
      </c>
      <c r="D137" s="86" t="inlineStr">
        <is>
          <t>5 / 13 / -</t>
        </is>
      </c>
      <c r="E137" s="167" t="inlineStr">
        <is>
          <t>Классика овсяного стаута на NITRO!</t>
        </is>
      </c>
      <c r="F137" s="86" t="n">
        <v>20</v>
      </c>
      <c r="G137" s="92" t="n">
        <v>375</v>
      </c>
      <c r="H137" s="92" t="inlineStr">
        <is>
          <t>много</t>
        </is>
      </c>
      <c r="I137" s="127" t="n">
        <v>0</v>
      </c>
      <c r="J137" s="127">
        <f>PRODUCT(PRODUCT(F137:G137),I137)</f>
        <v/>
      </c>
    </row>
    <row r="138" hidden="1" s="201">
      <c r="A138" s="192" t="inlineStr">
        <is>
          <t>Zagovor</t>
        </is>
      </c>
      <c r="B138" s="31" t="inlineStr">
        <is>
          <t>STOP'N'GO: DDH+Lupulin Powder</t>
        </is>
      </c>
      <c r="C138" s="159" t="inlineStr">
        <is>
          <t>NE IPA</t>
        </is>
      </c>
      <c r="D138" s="86" t="inlineStr">
        <is>
          <t>7 / 17 / 45</t>
        </is>
      </c>
      <c r="E138" s="42" t="inlineStr">
        <is>
          <t>Juicy Drum Beat New England IPA. DDH Citra &amp; Сascade + Mosaic Lupulin.</t>
        </is>
      </c>
      <c r="F138" s="86" t="n">
        <v>20</v>
      </c>
      <c r="G138" s="92" t="n">
        <v>475</v>
      </c>
      <c r="H138" s="92" t="inlineStr">
        <is>
          <t>много</t>
        </is>
      </c>
      <c r="I138" s="127" t="n">
        <v>0</v>
      </c>
      <c r="J138" s="127">
        <f>PRODUCT(PRODUCT(F138:G138),I138)</f>
        <v/>
      </c>
    </row>
    <row r="139">
      <c r="A139" s="135" t="n"/>
      <c r="B139" s="136" t="n"/>
      <c r="C139" s="137" t="n"/>
      <c r="D139" s="138" t="n"/>
      <c r="E139" s="139" t="n"/>
      <c r="F139" s="138" t="n"/>
      <c r="G139" s="168" t="n"/>
      <c r="H139" s="168" t="inlineStr">
        <is>
          <t>Итог</t>
        </is>
      </c>
      <c r="I139" s="169" t="n">
        <v>0</v>
      </c>
      <c r="J139" s="169">
        <f>SUM(J4:J138)</f>
        <v/>
      </c>
    </row>
  </sheetData>
  <autoFilter ref="$A$2:$J$139">
    <filterColumn colId="1" hiddenButton="0" showButton="1">
      <filters blank="1">
        <filter val="Academic Pizzicato"/>
        <filter val="Томатная Дичь Кимчи"/>
        <filter val="B-DAY Lager"/>
        <filter val="Mr. O'Vsyanka / Мистер О`всянка"/>
        <filter val="ABC Weizen"/>
        <filter val="La Lucha Libre"/>
        <filter val="Hellbringer"/>
        <filter val="STOP'N'GO: DDH+Lupulin Powder"/>
        <filter val="Dry Nitro Stout"/>
        <filter val="Fruitride"/>
        <filter val="DIPA"/>
        <filter val="ST ANDREWS"/>
        <filter val="Ghostly Caravan"/>
        <filter val="Mead Traditional"/>
        <filter val="Mr. Golding"/>
        <filter val="RADETZKY MARCH"/>
        <filter val="I Was Getting Drunk In A Flower Shop 10 Years Ago"/>
        <filter val="Duck Moment"/>
        <filter val="Белое"/>
        <filter val="Mead Cherry"/>
        <filter val="Ласка нерпы"/>
        <filter val="Seven Shimmers"/>
        <filter val="В Собственном Соку: Вишня"/>
        <filter val="Same Shit Different Day V.2"/>
        <filter val="HOPPY LAGER"/>
        <filter val="Straßenbahn Dunkelweizen"/>
        <filter val="Pils"/>
        <filter val="Спецварка"/>
        <filter val="Дзен и искусство ухода за каламанси"/>
        <filter val="Rauchzart"/>
        <filter val="Schukowski Pils / Жуковский Пилс"/>
        <filter val="Limit Break"/>
        <filter val="Helles"/>
        <filter val="Тотем - Медведь"/>
        <filter val="PILS"/>
        <filter val="Arcane Gleam"/>
        <filter val="Starovar Black Velvet"/>
        <filter val="Утро Туманное"/>
        <filter val="Sound Bevvy"/>
        <filter val="Токсовский Трамплин"/>
        <filter val="Transistor"/>
        <filter val="Festival Destroyer"/>
        <filter val="Сидр Полусухой Псковский Терруар"/>
        <filter val="Пилснер"/>
        <filter val="Сидр Полусладкий 862"/>
        <filter val="Хеллес"/>
        <filter val="Tomato Method"/>
        <filter val="Tropic Sour Kitchen"/>
        <filter val="Голова"/>
        <filter val="Starovar IPA"/>
        <filter val="Off the Pond"/>
        <filter val="Blueberry and Vanilla Mead"/>
        <filter val="Holy DIPA"/>
        <filter val="Sombra Blanca"/>
        <filter val="Straßenbahn"/>
        <filter val="Beeswax"/>
        <filter val="Отличный Урожай"/>
        <filter val="Синьор Помидор И Друг Его Тимьян"/>
        <filter val="Irish Wolf"/>
        <filter val="REARVIEW"/>
        <filter val="Village Stout"/>
        <filter val="Your Young Lordship"/>
        <filter val="Селестиал: Strata+Citra+Mosaic"/>
        <filter val="Starovar Non Alco"/>
        <filter val="Selfmade Pilsner"/>
        <filter val="Traditional Mead"/>
        <filter val="Berry Sour Kitchen Black Currant, Mint"/>
        <filter val="Сидр Сухой Старый Изборск"/>
        <filter val="Epidemic"/>
        <filter val="Caress and Scratch"/>
        <filter val="Rocket Jump"/>
        <filter val="Lone Sword"/>
        <filter val="Black Currant Mead"/>
        <filter val="Milk Star"/>
        <filter val="Muapolku"/>
        <filter val="A Night In The Lonesome October"/>
        <filter val="Селестиал: HBC-638+Chinook+Azacca"/>
        <filter val="Midday Beast"/>
        <filter val="Mead Honeysuckle"/>
        <filter val="Рыжая Соня"/>
        <filter val="QUEEN GRACE"/>
        <filter val="Your Freak Lordship"/>
        <filter val="Starovar APA"/>
        <filter val="Braw Chuchter"/>
        <filter val="NITRO Scratch"/>
        <filter val="Hot Wax"/>
        <filter val="ABC-Kölsch"/>
        <filter val="American Pale Ale"/>
        <filter val="Yellow Cream"/>
        <filter val="Nonstop Feeling"/>
        <filter val="Авиатор"/>
        <filter val="Most Wonderful Time 4 A Beer"/>
        <filter val="IMAGINARIUM"/>
        <filter val="THE DIAMOND"/>
        <filter val="Дзен и искусство ухода за цитрусами"/>
        <filter val="Starovar Munchen Helles"/>
        <filter val="Heartless Shadow"/>
        <filter val="BIG CLASH!"/>
        <filter val="Village Blanche"/>
        <filter val="Juicy IPA"/>
        <filter val="Банановые Мозги"/>
        <filter val="Алтайские Традиции / Weissbier"/>
        <filter val="Аномалия"/>
        <filter val="Чешская деситка"/>
        <filter val="Сидр Полусухой Hop Me"/>
        <filter val="Midnight Beast"/>
        <filter val="Choco Mammuth"/>
        <filter val="ПРОСТ!"/>
        <filter val="IPA"/>
      </filters>
    </filterColumn>
    <filterColumn colId="8" hiddenButton="0" showButton="1">
      <filters blank="1">
        <filter val="1"/>
        <filter val="2"/>
        <filter val="5"/>
        <filter val="10"/>
      </filters>
    </filterColumn>
  </autoFilter>
  <mergeCells count="28">
    <mergeCell ref="A114:H114"/>
    <mergeCell ref="A59:H59"/>
    <mergeCell ref="A64:H64"/>
    <mergeCell ref="A82:H82"/>
    <mergeCell ref="A45:H45"/>
    <mergeCell ref="A16:H16"/>
    <mergeCell ref="A90:H90"/>
    <mergeCell ref="A108:H108"/>
    <mergeCell ref="A133:H133"/>
    <mergeCell ref="A84:H84"/>
    <mergeCell ref="A12:H12"/>
    <mergeCell ref="A1:D1"/>
    <mergeCell ref="A3:H3"/>
    <mergeCell ref="A101:H101"/>
    <mergeCell ref="A86:H86"/>
    <mergeCell ref="A129:H129"/>
    <mergeCell ref="F1:H1"/>
    <mergeCell ref="A71:H71"/>
    <mergeCell ref="A42:H42"/>
    <mergeCell ref="A47:H47"/>
    <mergeCell ref="A116:H116"/>
    <mergeCell ref="A135:H135"/>
    <mergeCell ref="A97:H97"/>
    <mergeCell ref="A40:H40"/>
    <mergeCell ref="A29:H29"/>
    <mergeCell ref="A38:H38"/>
    <mergeCell ref="A68:H68"/>
    <mergeCell ref="A34:H34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6" r:id="rId36"/>
    <hyperlink xmlns:r="http://schemas.openxmlformats.org/officeDocument/2006/relationships" ref="B48" r:id="rId37"/>
    <hyperlink xmlns:r="http://schemas.openxmlformats.org/officeDocument/2006/relationships" ref="B49" r:id="rId38"/>
    <hyperlink xmlns:r="http://schemas.openxmlformats.org/officeDocument/2006/relationships" ref="B50" r:id="rId39"/>
    <hyperlink xmlns:r="http://schemas.openxmlformats.org/officeDocument/2006/relationships" ref="B51" r:id="rId40"/>
    <hyperlink xmlns:r="http://schemas.openxmlformats.org/officeDocument/2006/relationships" ref="B52" r:id="rId41"/>
    <hyperlink xmlns:r="http://schemas.openxmlformats.org/officeDocument/2006/relationships" ref="B53" r:id="rId42"/>
    <hyperlink xmlns:r="http://schemas.openxmlformats.org/officeDocument/2006/relationships" ref="B54" r:id="rId43"/>
    <hyperlink xmlns:r="http://schemas.openxmlformats.org/officeDocument/2006/relationships" ref="B55" r:id="rId44"/>
    <hyperlink xmlns:r="http://schemas.openxmlformats.org/officeDocument/2006/relationships" ref="B56" r:id="rId45"/>
    <hyperlink xmlns:r="http://schemas.openxmlformats.org/officeDocument/2006/relationships" ref="B57" r:id="rId46"/>
    <hyperlink xmlns:r="http://schemas.openxmlformats.org/officeDocument/2006/relationships" ref="B58" r:id="rId47"/>
    <hyperlink xmlns:r="http://schemas.openxmlformats.org/officeDocument/2006/relationships" ref="B60" r:id="rId48"/>
    <hyperlink xmlns:r="http://schemas.openxmlformats.org/officeDocument/2006/relationships" ref="B61" r:id="rId49"/>
    <hyperlink xmlns:r="http://schemas.openxmlformats.org/officeDocument/2006/relationships" ref="B62" r:id="rId50"/>
    <hyperlink xmlns:r="http://schemas.openxmlformats.org/officeDocument/2006/relationships" ref="B63" r:id="rId51"/>
    <hyperlink xmlns:r="http://schemas.openxmlformats.org/officeDocument/2006/relationships" ref="B65" r:id="rId52"/>
    <hyperlink xmlns:r="http://schemas.openxmlformats.org/officeDocument/2006/relationships" ref="B66" r:id="rId53"/>
    <hyperlink xmlns:r="http://schemas.openxmlformats.org/officeDocument/2006/relationships" ref="B67" r:id="rId54"/>
    <hyperlink xmlns:r="http://schemas.openxmlformats.org/officeDocument/2006/relationships" ref="B69" r:id="rId55"/>
    <hyperlink xmlns:r="http://schemas.openxmlformats.org/officeDocument/2006/relationships" ref="B70" r:id="rId56"/>
    <hyperlink xmlns:r="http://schemas.openxmlformats.org/officeDocument/2006/relationships" ref="B72" r:id="rId57"/>
    <hyperlink xmlns:r="http://schemas.openxmlformats.org/officeDocument/2006/relationships" ref="B73" r:id="rId58"/>
    <hyperlink xmlns:r="http://schemas.openxmlformats.org/officeDocument/2006/relationships" ref="B74" r:id="rId59"/>
    <hyperlink xmlns:r="http://schemas.openxmlformats.org/officeDocument/2006/relationships" ref="B75" r:id="rId60"/>
    <hyperlink xmlns:r="http://schemas.openxmlformats.org/officeDocument/2006/relationships" ref="B76" r:id="rId61"/>
    <hyperlink xmlns:r="http://schemas.openxmlformats.org/officeDocument/2006/relationships" ref="B77" r:id="rId62"/>
    <hyperlink xmlns:r="http://schemas.openxmlformats.org/officeDocument/2006/relationships" ref="B78" r:id="rId63"/>
    <hyperlink xmlns:r="http://schemas.openxmlformats.org/officeDocument/2006/relationships" ref="B79" r:id="rId64"/>
    <hyperlink xmlns:r="http://schemas.openxmlformats.org/officeDocument/2006/relationships" ref="B80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5" r:id="rId68"/>
    <hyperlink xmlns:r="http://schemas.openxmlformats.org/officeDocument/2006/relationships" ref="B87" r:id="rId69"/>
    <hyperlink xmlns:r="http://schemas.openxmlformats.org/officeDocument/2006/relationships" ref="B88" r:id="rId70"/>
    <hyperlink xmlns:r="http://schemas.openxmlformats.org/officeDocument/2006/relationships" ref="B89" r:id="rId71"/>
    <hyperlink xmlns:r="http://schemas.openxmlformats.org/officeDocument/2006/relationships" ref="B91" r:id="rId72"/>
    <hyperlink xmlns:r="http://schemas.openxmlformats.org/officeDocument/2006/relationships" ref="B92" r:id="rId73"/>
    <hyperlink xmlns:r="http://schemas.openxmlformats.org/officeDocument/2006/relationships" ref="B93" r:id="rId74"/>
    <hyperlink xmlns:r="http://schemas.openxmlformats.org/officeDocument/2006/relationships" ref="B94" r:id="rId75"/>
    <hyperlink xmlns:r="http://schemas.openxmlformats.org/officeDocument/2006/relationships" ref="B95" r:id="rId76"/>
    <hyperlink xmlns:r="http://schemas.openxmlformats.org/officeDocument/2006/relationships" ref="B96" r:id="rId77"/>
    <hyperlink xmlns:r="http://schemas.openxmlformats.org/officeDocument/2006/relationships" ref="B98" r:id="rId78"/>
    <hyperlink xmlns:r="http://schemas.openxmlformats.org/officeDocument/2006/relationships" ref="B100" r:id="rId79"/>
    <hyperlink xmlns:r="http://schemas.openxmlformats.org/officeDocument/2006/relationships" ref="B102" r:id="rId80"/>
    <hyperlink xmlns:r="http://schemas.openxmlformats.org/officeDocument/2006/relationships" ref="B103" r:id="rId81"/>
    <hyperlink xmlns:r="http://schemas.openxmlformats.org/officeDocument/2006/relationships" ref="B104" r:id="rId82"/>
    <hyperlink xmlns:r="http://schemas.openxmlformats.org/officeDocument/2006/relationships" ref="B105" r:id="rId83"/>
    <hyperlink xmlns:r="http://schemas.openxmlformats.org/officeDocument/2006/relationships" ref="B106" r:id="rId84"/>
    <hyperlink xmlns:r="http://schemas.openxmlformats.org/officeDocument/2006/relationships" ref="B107" r:id="rId85"/>
    <hyperlink xmlns:r="http://schemas.openxmlformats.org/officeDocument/2006/relationships" ref="B109" r:id="rId86"/>
    <hyperlink xmlns:r="http://schemas.openxmlformats.org/officeDocument/2006/relationships" ref="B110" r:id="rId87"/>
    <hyperlink xmlns:r="http://schemas.openxmlformats.org/officeDocument/2006/relationships" ref="B111" r:id="rId88"/>
    <hyperlink xmlns:r="http://schemas.openxmlformats.org/officeDocument/2006/relationships" ref="B112" r:id="rId89"/>
    <hyperlink xmlns:r="http://schemas.openxmlformats.org/officeDocument/2006/relationships" ref="B113" r:id="rId90"/>
    <hyperlink xmlns:r="http://schemas.openxmlformats.org/officeDocument/2006/relationships" ref="B115" r:id="rId91"/>
    <hyperlink xmlns:r="http://schemas.openxmlformats.org/officeDocument/2006/relationships" ref="B117" r:id="rId92"/>
    <hyperlink xmlns:r="http://schemas.openxmlformats.org/officeDocument/2006/relationships" ref="B118" r:id="rId93"/>
    <hyperlink xmlns:r="http://schemas.openxmlformats.org/officeDocument/2006/relationships" ref="B119" r:id="rId94"/>
    <hyperlink xmlns:r="http://schemas.openxmlformats.org/officeDocument/2006/relationships" ref="B120" r:id="rId95"/>
    <hyperlink xmlns:r="http://schemas.openxmlformats.org/officeDocument/2006/relationships" ref="B121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1" r:id="rId105"/>
    <hyperlink xmlns:r="http://schemas.openxmlformats.org/officeDocument/2006/relationships" ref="B132" r:id="rId106"/>
    <hyperlink xmlns:r="http://schemas.openxmlformats.org/officeDocument/2006/relationships" ref="B134" r:id="rId107"/>
    <hyperlink xmlns:r="http://schemas.openxmlformats.org/officeDocument/2006/relationships" ref="B136" r:id="rId108"/>
    <hyperlink xmlns:r="http://schemas.openxmlformats.org/officeDocument/2006/relationships" ref="B137" r:id="rId109"/>
    <hyperlink xmlns:r="http://schemas.openxmlformats.org/officeDocument/2006/relationships" ref="B138" r:id="rId11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1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J6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201" min="1" max="1"/>
    <col width="45.25" customWidth="1" style="201" min="2" max="2"/>
    <col width="19.25" customWidth="1" style="201" min="3" max="3"/>
    <col width="69.5" customWidth="1" style="201" min="4" max="4"/>
    <col width="12.5" customWidth="1" style="201" min="6" max="6"/>
  </cols>
  <sheetData>
    <row r="1">
      <c r="A1" s="1" t="inlineStr">
        <is>
          <t>Прайс обновлён 28.10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sales@mrvg.ru</t>
        </is>
      </c>
      <c r="I1" s="79" t="n"/>
      <c r="J1" s="79" t="n"/>
    </row>
    <row r="2">
      <c r="A2" s="5" t="inlineStr">
        <is>
          <t>Наименование пивоварни</t>
        </is>
      </c>
      <c r="B2" s="108" t="inlineStr">
        <is>
          <t>Наименование</t>
        </is>
      </c>
      <c r="C2" s="8" t="inlineStr">
        <is>
          <t>Стиль</t>
        </is>
      </c>
      <c r="D2" s="10" t="inlineStr">
        <is>
          <t>Описание</t>
        </is>
      </c>
      <c r="E2" s="10" t="inlineStr">
        <is>
          <t>Тип фасовки / кол-во в уп</t>
        </is>
      </c>
      <c r="F2" s="10" t="inlineStr">
        <is>
          <t>Срок годности</t>
        </is>
      </c>
      <c r="G2" s="108" t="inlineStr">
        <is>
          <t>Цена</t>
        </is>
      </c>
      <c r="H2" s="108" t="inlineStr">
        <is>
          <t>Наличие</t>
        </is>
      </c>
      <c r="I2" s="108" t="inlineStr">
        <is>
          <t>Заказ</t>
        </is>
      </c>
      <c r="J2" s="108" t="inlineStr">
        <is>
          <t>Цена</t>
        </is>
      </c>
    </row>
    <row r="3" hidden="1" s="201">
      <c r="A3" s="207" t="inlineStr">
        <is>
          <t>В РИТМЕ г. Санкт-Петербург</t>
        </is>
      </c>
      <c r="B3" s="204" t="n"/>
      <c r="C3" s="204" t="n"/>
      <c r="D3" s="204" t="n"/>
      <c r="E3" s="204" t="n"/>
      <c r="F3" s="204" t="n"/>
      <c r="G3" s="204" t="n"/>
      <c r="H3" s="206" t="n"/>
      <c r="I3" s="54" t="n">
        <v>0</v>
      </c>
      <c r="J3" s="54" t="n"/>
    </row>
    <row r="4" hidden="1" s="201">
      <c r="A4" s="174" t="inlineStr">
        <is>
          <t>В РИТМЕ</t>
        </is>
      </c>
      <c r="B4" s="114" t="inlineStr">
        <is>
          <t>NON ALCO ALE GRAPEFRUIT</t>
        </is>
      </c>
      <c r="C4" s="171" t="inlineStr">
        <is>
          <t>Pale Ale</t>
        </is>
      </c>
      <c r="D4" s="172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4" s="159" t="inlineStr">
        <is>
          <t>ж/б 0.45 / 20</t>
        </is>
      </c>
      <c r="F4" s="86" t="inlineStr">
        <is>
          <t>12 мес.</t>
        </is>
      </c>
      <c r="G4" s="131" t="n">
        <v>175</v>
      </c>
      <c r="H4" s="92" t="inlineStr">
        <is>
          <t>много</t>
        </is>
      </c>
      <c r="I4" s="92" t="n">
        <v>0</v>
      </c>
      <c r="J4" s="92">
        <f>PRODUCT(G4,I4)</f>
        <v/>
      </c>
    </row>
    <row r="5" hidden="1" s="201">
      <c r="A5" s="174" t="inlineStr">
        <is>
          <t>В РИТМЕ</t>
        </is>
      </c>
      <c r="B5" s="114" t="inlineStr">
        <is>
          <t>NON ALCO CLASSIC GOSE</t>
        </is>
      </c>
      <c r="C5" s="171" t="inlineStr">
        <is>
          <t>Gose</t>
        </is>
      </c>
      <c r="D5" s="172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5" s="159" t="inlineStr">
        <is>
          <t>ж/б 0.45 / 20</t>
        </is>
      </c>
      <c r="F5" s="86" t="inlineStr">
        <is>
          <t>12 мес.</t>
        </is>
      </c>
      <c r="G5" s="131" t="n">
        <v>175</v>
      </c>
      <c r="H5" s="92" t="inlineStr">
        <is>
          <t>много</t>
        </is>
      </c>
      <c r="I5" s="92" t="n">
        <v>0</v>
      </c>
      <c r="J5" s="92">
        <f>PRODUCT(G5,I5)</f>
        <v/>
      </c>
    </row>
    <row r="6" hidden="1" s="201">
      <c r="A6" s="174" t="inlineStr">
        <is>
          <t>В РИТМЕ</t>
        </is>
      </c>
      <c r="B6" s="114" t="inlineStr">
        <is>
          <t>NON ALCO COFFEE STOUT</t>
        </is>
      </c>
      <c r="C6" s="171" t="inlineStr">
        <is>
          <t>Stout</t>
        </is>
      </c>
      <c r="D6" s="172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6" s="159" t="inlineStr">
        <is>
          <t>ж/б 0.45 / 20</t>
        </is>
      </c>
      <c r="F6" s="86" t="inlineStr">
        <is>
          <t>12 мес.</t>
        </is>
      </c>
      <c r="G6" s="131" t="n">
        <v>175</v>
      </c>
      <c r="H6" s="92" t="inlineStr">
        <is>
          <t>много</t>
        </is>
      </c>
      <c r="I6" s="92" t="n">
        <v>0</v>
      </c>
      <c r="J6" s="92">
        <f>PRODUCT(G6,I6)</f>
        <v/>
      </c>
    </row>
    <row r="7" hidden="1" s="201">
      <c r="A7" s="174" t="inlineStr">
        <is>
          <t>В РИТМЕ</t>
        </is>
      </c>
      <c r="B7" s="114" t="inlineStr">
        <is>
          <t>NON ALCO LAGER</t>
        </is>
      </c>
      <c r="C7" s="171" t="inlineStr">
        <is>
          <t>Lager</t>
        </is>
      </c>
      <c r="D7" s="172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7" s="159" t="inlineStr">
        <is>
          <t>ж/б 0.45 / 20</t>
        </is>
      </c>
      <c r="F7" s="86" t="inlineStr">
        <is>
          <t>12 мес.</t>
        </is>
      </c>
      <c r="G7" s="131" t="n">
        <v>175</v>
      </c>
      <c r="H7" s="92" t="inlineStr">
        <is>
          <t>много</t>
        </is>
      </c>
      <c r="I7" s="92" t="n">
        <v>0</v>
      </c>
      <c r="J7" s="92">
        <f>PRODUCT(G7,I7)</f>
        <v/>
      </c>
    </row>
    <row r="8" hidden="1" s="201">
      <c r="A8" s="174" t="inlineStr">
        <is>
          <t>В РИТМЕ</t>
        </is>
      </c>
      <c r="B8" s="114" t="inlineStr">
        <is>
          <t>NON ALCO LEMON GOSE</t>
        </is>
      </c>
      <c r="C8" s="171" t="inlineStr">
        <is>
          <t>Gose</t>
        </is>
      </c>
      <c r="D8" s="172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8" s="159" t="inlineStr">
        <is>
          <t>ж/б 0.45 / 20</t>
        </is>
      </c>
      <c r="F8" s="86" t="inlineStr">
        <is>
          <t>12 мес.</t>
        </is>
      </c>
      <c r="G8" s="131" t="n">
        <v>175</v>
      </c>
      <c r="H8" s="92" t="inlineStr">
        <is>
          <t>много</t>
        </is>
      </c>
      <c r="I8" s="92" t="n">
        <v>0</v>
      </c>
      <c r="J8" s="92">
        <f>PRODUCT(G8,I8)</f>
        <v/>
      </c>
    </row>
    <row r="9" hidden="1" s="201">
      <c r="A9" s="174" t="inlineStr">
        <is>
          <t>В РИТМЕ</t>
        </is>
      </c>
      <c r="B9" s="114" t="inlineStr">
        <is>
          <t>NON ALCO SOUR ALE FEIJOA</t>
        </is>
      </c>
      <c r="C9" s="171" t="inlineStr">
        <is>
          <t>Sour Ale</t>
        </is>
      </c>
      <c r="D9" s="172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9" s="159" t="inlineStr">
        <is>
          <t>ж/б 0.45 / 20</t>
        </is>
      </c>
      <c r="F9" s="86" t="inlineStr">
        <is>
          <t>12 мес.</t>
        </is>
      </c>
      <c r="G9" s="131" t="n">
        <v>175</v>
      </c>
      <c r="H9" s="92" t="inlineStr">
        <is>
          <t>много</t>
        </is>
      </c>
      <c r="I9" s="92" t="n">
        <v>0</v>
      </c>
      <c r="J9" s="92">
        <f>PRODUCT(G9,I9)</f>
        <v/>
      </c>
    </row>
    <row r="10" hidden="1" s="201">
      <c r="A10" s="174" t="inlineStr">
        <is>
          <t>В РИТМЕ</t>
        </is>
      </c>
      <c r="B10" s="114" t="inlineStr">
        <is>
          <t>NON ALCO SOUR ALE RASPBERRY</t>
        </is>
      </c>
      <c r="C10" s="171" t="inlineStr">
        <is>
          <t>Sour Ale</t>
        </is>
      </c>
      <c r="D10" s="172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0" s="159" t="inlineStr">
        <is>
          <t>ж/б 0.45 / 20</t>
        </is>
      </c>
      <c r="F10" s="86" t="inlineStr">
        <is>
          <t>12 мес.</t>
        </is>
      </c>
      <c r="G10" s="131" t="n">
        <v>175</v>
      </c>
      <c r="H10" s="92" t="inlineStr">
        <is>
          <t>много</t>
        </is>
      </c>
      <c r="I10" s="92" t="n">
        <v>0</v>
      </c>
      <c r="J10" s="92">
        <f>PRODUCT(G10,I10)</f>
        <v/>
      </c>
    </row>
    <row r="11" hidden="1" s="201">
      <c r="A11" s="205" t="inlineStr">
        <is>
          <t>Коломенская Пивоварня г. Коломна</t>
        </is>
      </c>
      <c r="B11" s="204" t="n"/>
      <c r="C11" s="204" t="n"/>
      <c r="D11" s="204" t="n"/>
      <c r="E11" s="204" t="n"/>
      <c r="F11" s="204" t="n"/>
      <c r="G11" s="204" t="n"/>
      <c r="H11" s="206" t="n"/>
      <c r="I11" s="90" t="n">
        <v>0</v>
      </c>
      <c r="J11" s="90" t="n"/>
    </row>
    <row r="12">
      <c r="A12" s="196" t="inlineStr">
        <is>
          <t>Коломенская Пивоварня</t>
        </is>
      </c>
      <c r="B12" s="32" t="inlineStr">
        <is>
          <t>Starovar Non Alco</t>
        </is>
      </c>
      <c r="C12" s="18" t="inlineStr">
        <is>
          <t>No Alco Lager</t>
        </is>
      </c>
      <c r="D12" s="98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2" s="159" t="inlineStr">
        <is>
          <t>ж/б 0.45 / 20</t>
        </is>
      </c>
      <c r="F12" s="86" t="inlineStr">
        <is>
          <t>6 мес.</t>
        </is>
      </c>
      <c r="G12" s="92" t="n">
        <v>85</v>
      </c>
      <c r="H12" s="127" t="inlineStr">
        <is>
          <t>новинка</t>
        </is>
      </c>
      <c r="I12" s="92" t="n">
        <v>0</v>
      </c>
      <c r="J12" s="92">
        <f>PRODUCT(G12,I12)</f>
        <v/>
      </c>
    </row>
    <row r="13">
      <c r="A13" s="196" t="inlineStr">
        <is>
          <t>Коломенская Пивоварня</t>
        </is>
      </c>
      <c r="B13" s="17" t="inlineStr">
        <is>
          <t>Starovar Non Alco Dark</t>
        </is>
      </c>
      <c r="C13" s="18" t="inlineStr">
        <is>
          <t>No Alco Lager</t>
        </is>
      </c>
      <c r="D13" s="60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3" s="159" t="inlineStr">
        <is>
          <t>ж/б 0.45 / 20</t>
        </is>
      </c>
      <c r="F13" s="86" t="inlineStr">
        <is>
          <t>6 мес.</t>
        </is>
      </c>
      <c r="G13" s="92" t="n">
        <v>89</v>
      </c>
      <c r="H13" s="127" t="inlineStr">
        <is>
          <t>новинка</t>
        </is>
      </c>
      <c r="I13" s="92" t="n">
        <v>0</v>
      </c>
      <c r="J13" s="92">
        <f>PRODUCT(G13,I13)</f>
        <v/>
      </c>
    </row>
    <row r="14" hidden="1" s="201">
      <c r="A14" s="207" t="inlineStr">
        <is>
          <t>МедА Сибири г. Томск</t>
        </is>
      </c>
      <c r="B14" s="204" t="n"/>
      <c r="C14" s="204" t="n"/>
      <c r="D14" s="204" t="n"/>
      <c r="E14" s="204" t="n"/>
      <c r="F14" s="204" t="n"/>
      <c r="G14" s="204" t="n"/>
      <c r="H14" s="206" t="n"/>
      <c r="I14" s="54" t="n">
        <v>0</v>
      </c>
      <c r="J14" s="54" t="n"/>
    </row>
    <row r="15" hidden="1" s="201">
      <c r="A15" s="174" t="inlineStr">
        <is>
          <t>МедА Сибири</t>
        </is>
      </c>
      <c r="B15" s="31" t="inlineStr">
        <is>
          <t>Non-alcoholic Mead Жимолость</t>
        </is>
      </c>
      <c r="C15" s="18" t="inlineStr">
        <is>
          <t>Mead</t>
        </is>
      </c>
      <c r="D15" s="60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5" s="159" t="inlineStr">
        <is>
          <t>ж/б 0.45 / 20</t>
        </is>
      </c>
      <c r="F15" s="86" t="inlineStr">
        <is>
          <t>12 мес.</t>
        </is>
      </c>
      <c r="G15" s="92" t="n">
        <v>165</v>
      </c>
      <c r="H15" s="92" t="inlineStr">
        <is>
          <t>много</t>
        </is>
      </c>
      <c r="I15" s="92" t="n">
        <v>0</v>
      </c>
      <c r="J15" s="92">
        <f>PRODUCT(G15,I15)</f>
        <v/>
      </c>
    </row>
    <row r="16" hidden="1" s="201">
      <c r="A16" s="174" t="inlineStr">
        <is>
          <t>МедА Сибири</t>
        </is>
      </c>
      <c r="B16" s="31" t="inlineStr">
        <is>
          <t>Non-alcoholic Mead Цитрус</t>
        </is>
      </c>
      <c r="C16" s="18" t="inlineStr">
        <is>
          <t>Mead</t>
        </is>
      </c>
      <c r="D16" s="60" t="inlineStr">
        <is>
          <t>Яркий, легкий цитрусовый мид с ароматными пряными нотками и грейпфрутовой горчинкой в послевкусии.</t>
        </is>
      </c>
      <c r="E16" s="159" t="inlineStr">
        <is>
          <t>ж/б 0.45 / 20</t>
        </is>
      </c>
      <c r="F16" s="86" t="inlineStr">
        <is>
          <t>12 мес.</t>
        </is>
      </c>
      <c r="G16" s="92" t="n">
        <v>165</v>
      </c>
      <c r="H16" s="92" t="inlineStr">
        <is>
          <t>много</t>
        </is>
      </c>
      <c r="I16" s="92" t="n">
        <v>0</v>
      </c>
      <c r="J16" s="92">
        <f>PRODUCT(G16,I16)</f>
        <v/>
      </c>
    </row>
    <row r="17" hidden="1" s="201">
      <c r="A17" s="174" t="inlineStr">
        <is>
          <t>МедА Сибири</t>
        </is>
      </c>
      <c r="B17" s="31" t="inlineStr">
        <is>
          <t>Non-Alcoholic Mead Cherry</t>
        </is>
      </c>
      <c r="C17" s="18" t="inlineStr">
        <is>
          <t>Mead</t>
        </is>
      </c>
      <c r="D17" s="60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7" s="159" t="inlineStr">
        <is>
          <t>ж/б 0.45 / 20</t>
        </is>
      </c>
      <c r="F17" s="86" t="inlineStr">
        <is>
          <t>12 мес.</t>
        </is>
      </c>
      <c r="G17" s="92" t="n">
        <v>165</v>
      </c>
      <c r="H17" s="92" t="inlineStr">
        <is>
          <t>много</t>
        </is>
      </c>
      <c r="I17" s="92" t="n">
        <v>0</v>
      </c>
      <c r="J17" s="92">
        <f>PRODUCT(G17,I17)</f>
        <v/>
      </c>
    </row>
    <row r="18" hidden="1" s="201">
      <c r="A18" s="207" t="inlineStr">
        <is>
          <t>Сидродельня Леонида Леврана г. Изборск</t>
        </is>
      </c>
      <c r="B18" s="204" t="n"/>
      <c r="C18" s="204" t="n"/>
      <c r="D18" s="204" t="n"/>
      <c r="E18" s="204" t="n"/>
      <c r="F18" s="204" t="n"/>
      <c r="G18" s="204" t="n"/>
      <c r="H18" s="206" t="n"/>
      <c r="I18" s="54" t="n">
        <v>0</v>
      </c>
      <c r="J18" s="54" t="n"/>
    </row>
    <row r="19" hidden="1" s="201">
      <c r="A19" s="148" t="inlineStr">
        <is>
          <t>Сидродельня Леонида Леврана</t>
        </is>
      </c>
      <c r="B19" s="85" t="inlineStr">
        <is>
          <t>Сидр Безалкогольный</t>
        </is>
      </c>
      <c r="C19" s="86" t="inlineStr">
        <is>
          <t>Cider</t>
        </is>
      </c>
      <c r="D19" s="82" t="inlineStr">
        <is>
          <t>Безалкогольный сидр - сочный и насыщенный вкус, за счет добавления свежего яблочного сока.</t>
        </is>
      </c>
      <c r="E19" s="159" t="inlineStr">
        <is>
          <t>ж/б 0.33 / 12</t>
        </is>
      </c>
      <c r="F19" s="86" t="inlineStr">
        <is>
          <t>12 мес.</t>
        </is>
      </c>
      <c r="G19" s="92" t="n">
        <v>189</v>
      </c>
      <c r="H19" s="127" t="inlineStr">
        <is>
          <t>новинка</t>
        </is>
      </c>
      <c r="I19" s="92" t="n">
        <v>0</v>
      </c>
      <c r="J19" s="92">
        <f>PRODUCT(G19,I19)</f>
        <v/>
      </c>
    </row>
    <row r="20" hidden="1" s="201">
      <c r="A20" s="207" t="inlineStr">
        <is>
          <t>Bench г. Санкт-Петербург</t>
        </is>
      </c>
      <c r="B20" s="204" t="n"/>
      <c r="C20" s="204" t="n"/>
      <c r="D20" s="204" t="n"/>
      <c r="E20" s="204" t="n"/>
      <c r="F20" s="204" t="n"/>
      <c r="G20" s="204" t="n"/>
      <c r="H20" s="206" t="n"/>
      <c r="I20" s="54" t="n">
        <v>0</v>
      </c>
      <c r="J20" s="54" t="n"/>
    </row>
    <row r="21" hidden="1" s="201">
      <c r="A21" s="174" t="inlineStr">
        <is>
          <t>Bench</t>
        </is>
      </c>
      <c r="B21" s="174" t="inlineStr">
        <is>
          <t>Bench Абрикос Лемонграсс</t>
        </is>
      </c>
      <c r="C21" s="62" t="inlineStr">
        <is>
          <t>Lemonade</t>
        </is>
      </c>
      <c r="D21" s="18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1" s="178" t="inlineStr">
        <is>
          <t>ж/б 0.33 / 20</t>
        </is>
      </c>
      <c r="F21" s="62" t="inlineStr">
        <is>
          <t>12 мес.</t>
        </is>
      </c>
      <c r="G21" s="93" t="n">
        <v>105</v>
      </c>
      <c r="H21" s="92" t="inlineStr">
        <is>
          <t>много</t>
        </is>
      </c>
      <c r="I21" s="92" t="n">
        <v>0</v>
      </c>
      <c r="J21" s="92">
        <f>PRODUCT(G21,I21)</f>
        <v/>
      </c>
    </row>
    <row r="22" hidden="1" s="201">
      <c r="A22" s="174" t="inlineStr">
        <is>
          <t>Bench</t>
        </is>
      </c>
      <c r="B22" s="174" t="inlineStr">
        <is>
          <t>Bench Грейпфрут Малина</t>
        </is>
      </c>
      <c r="C22" s="62" t="inlineStr">
        <is>
          <t>Lemonade</t>
        </is>
      </c>
      <c r="D22" s="18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2" s="178" t="inlineStr">
        <is>
          <t>ж/б 0.33 / 20</t>
        </is>
      </c>
      <c r="F22" s="62" t="inlineStr">
        <is>
          <t>12 мес.</t>
        </is>
      </c>
      <c r="G22" s="93" t="n">
        <v>105</v>
      </c>
      <c r="H22" s="92" t="inlineStr">
        <is>
          <t>много</t>
        </is>
      </c>
      <c r="I22" s="92" t="n">
        <v>0</v>
      </c>
      <c r="J22" s="92">
        <f>PRODUCT(G22,I22)</f>
        <v/>
      </c>
    </row>
    <row r="23" hidden="1" s="201">
      <c r="A23" s="174" t="inlineStr">
        <is>
          <t>Bench</t>
        </is>
      </c>
      <c r="B23" s="174" t="inlineStr">
        <is>
          <t>Bench Слива Ваниль</t>
        </is>
      </c>
      <c r="C23" s="62" t="inlineStr">
        <is>
          <t>Lemonade</t>
        </is>
      </c>
      <c r="D23" s="18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3" s="178" t="inlineStr">
        <is>
          <t>ж/б 0.33 / 20</t>
        </is>
      </c>
      <c r="F23" s="62" t="inlineStr">
        <is>
          <t>12 мес.</t>
        </is>
      </c>
      <c r="G23" s="93" t="n">
        <v>105</v>
      </c>
      <c r="H23" s="92" t="inlineStr">
        <is>
          <t>много</t>
        </is>
      </c>
      <c r="I23" s="92" t="n">
        <v>0</v>
      </c>
      <c r="J23" s="92">
        <f>PRODUCT(G23,I23)</f>
        <v/>
      </c>
    </row>
    <row r="24" hidden="1" s="201">
      <c r="A24" s="174" t="inlineStr">
        <is>
          <t>Bench</t>
        </is>
      </c>
      <c r="B24" s="174" t="inlineStr">
        <is>
          <t>Bench Фейхоа Смородина</t>
        </is>
      </c>
      <c r="C24" s="62" t="inlineStr">
        <is>
          <t>Lemonade</t>
        </is>
      </c>
      <c r="D24" s="18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4" s="178" t="inlineStr">
        <is>
          <t>ж/б 0.33 / 20</t>
        </is>
      </c>
      <c r="F24" s="62" t="inlineStr">
        <is>
          <t>12 мес.</t>
        </is>
      </c>
      <c r="G24" s="93" t="n">
        <v>105</v>
      </c>
      <c r="H24" s="92" t="inlineStr">
        <is>
          <t>много</t>
        </is>
      </c>
      <c r="I24" s="92" t="n">
        <v>0</v>
      </c>
      <c r="J24" s="92">
        <f>PRODUCT(G24,I24)</f>
        <v/>
      </c>
    </row>
    <row r="25" hidden="1" s="201">
      <c r="A25" s="90" t="inlineStr">
        <is>
          <t>Bonnie Ship г. Москва</t>
        </is>
      </c>
      <c r="B25" s="202" t="n"/>
      <c r="C25" s="202" t="n"/>
      <c r="D25" s="202" t="n"/>
      <c r="E25" s="202" t="n"/>
      <c r="F25" s="202" t="n"/>
      <c r="G25" s="202" t="n"/>
      <c r="H25" s="203" t="n"/>
      <c r="I25" s="90" t="n">
        <v>0</v>
      </c>
      <c r="J25" s="90" t="n"/>
    </row>
    <row r="26" hidden="1" s="201">
      <c r="A26" s="175" t="inlineStr">
        <is>
          <t>Bonnie Ship</t>
        </is>
      </c>
      <c r="B26" s="132" t="inlineStr">
        <is>
          <t>ST ANDREWS</t>
        </is>
      </c>
      <c r="C26" s="179" t="inlineStr">
        <is>
          <t>Scottish Small Ale</t>
        </is>
      </c>
      <c r="D26" s="18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6" s="178" t="inlineStr">
        <is>
          <t>ж/б 0.33 / 20</t>
        </is>
      </c>
      <c r="F26" s="179" t="inlineStr">
        <is>
          <t>9 мес.</t>
        </is>
      </c>
      <c r="G26" s="182" t="n">
        <v>179</v>
      </c>
      <c r="H26" s="92" t="inlineStr">
        <is>
          <t>много</t>
        </is>
      </c>
      <c r="I26" s="92" t="n">
        <v>0</v>
      </c>
      <c r="J26" s="92">
        <f>PRODUCT(G26,I26)</f>
        <v/>
      </c>
    </row>
    <row r="27" hidden="1" s="201">
      <c r="A27" s="205" t="inlineStr">
        <is>
          <t>Khoffner Brewery г. Санкт-Петербург</t>
        </is>
      </c>
      <c r="B27" s="204" t="n"/>
      <c r="C27" s="204" t="n"/>
      <c r="D27" s="204" t="n"/>
      <c r="E27" s="204" t="n"/>
      <c r="F27" s="204" t="n"/>
      <c r="G27" s="204" t="n"/>
      <c r="H27" s="206" t="n"/>
      <c r="I27" s="90" t="n">
        <v>0</v>
      </c>
      <c r="J27" s="90" t="n"/>
    </row>
    <row r="28" hidden="1" s="201">
      <c r="A28" s="157" t="inlineStr">
        <is>
          <t>Khoffner</t>
        </is>
      </c>
      <c r="B28" s="128" t="inlineStr">
        <is>
          <t>Сатори</t>
        </is>
      </c>
      <c r="C28" s="179" t="inlineStr">
        <is>
          <t>Lager</t>
        </is>
      </c>
      <c r="D28" s="18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28" s="178" t="inlineStr">
        <is>
          <t>ж/б 0.45 / 20</t>
        </is>
      </c>
      <c r="F28" s="179" t="inlineStr">
        <is>
          <t>9 мес.</t>
        </is>
      </c>
      <c r="G28" s="182" t="n">
        <v>175</v>
      </c>
      <c r="H28" s="93" t="inlineStr">
        <is>
          <t>много</t>
        </is>
      </c>
      <c r="I28" s="92" t="n">
        <v>0</v>
      </c>
      <c r="J28" s="92">
        <f>PRODUCT(G28,I28)</f>
        <v/>
      </c>
    </row>
    <row r="29" hidden="1" s="201">
      <c r="A29" s="208" t="inlineStr">
        <is>
          <t>Lapochka г. Аша</t>
        </is>
      </c>
      <c r="B29" s="204" t="n"/>
      <c r="C29" s="204" t="n"/>
      <c r="D29" s="204" t="n"/>
      <c r="E29" s="204" t="n"/>
      <c r="F29" s="204" t="n"/>
      <c r="G29" s="204" t="n"/>
      <c r="H29" s="206" t="n"/>
      <c r="I29" s="144" t="n">
        <v>0</v>
      </c>
      <c r="J29" s="144" t="n"/>
    </row>
    <row r="30" hidden="1" s="201">
      <c r="A30" s="157" t="inlineStr">
        <is>
          <t>Lapochka</t>
        </is>
      </c>
      <c r="B30" s="184" t="inlineStr">
        <is>
          <t>Т-Банк Pineapple + Passion fruit + Lemongrass</t>
        </is>
      </c>
      <c r="C30" s="86" t="inlineStr">
        <is>
          <t>Lemonade</t>
        </is>
      </c>
      <c r="D30" s="129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0" s="159" t="inlineStr">
        <is>
          <t>ж/б 0.33 / 20</t>
        </is>
      </c>
      <c r="F30" s="86" t="inlineStr">
        <is>
          <t>12 мес.</t>
        </is>
      </c>
      <c r="G30" s="92" t="n">
        <v>115</v>
      </c>
      <c r="H30" s="127" t="inlineStr">
        <is>
          <t>новинка</t>
        </is>
      </c>
      <c r="I30" s="92" t="n">
        <v>0</v>
      </c>
      <c r="J30" s="92">
        <f>PRODUCT(G30,I30)</f>
        <v/>
      </c>
    </row>
    <row r="31" hidden="1" s="201">
      <c r="A31" s="157" t="inlineStr">
        <is>
          <t>Lapochka</t>
        </is>
      </c>
      <c r="B31" s="157" t="inlineStr">
        <is>
          <t>ТЕХПРОСВЕТ</t>
        </is>
      </c>
      <c r="C31" s="86" t="inlineStr">
        <is>
          <t>Lemonade</t>
        </is>
      </c>
      <c r="D31" s="82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1" s="159" t="inlineStr">
        <is>
          <t>ж/б 0.33 / 20</t>
        </is>
      </c>
      <c r="F31" s="86" t="inlineStr">
        <is>
          <t>12 мес.</t>
        </is>
      </c>
      <c r="G31" s="92" t="n">
        <v>105</v>
      </c>
      <c r="H31" s="93" t="inlineStr">
        <is>
          <t>много</t>
        </is>
      </c>
      <c r="I31" s="92" t="n">
        <v>0</v>
      </c>
      <c r="J31" s="92">
        <f>PRODUCT(G31,I31)</f>
        <v/>
      </c>
    </row>
    <row r="32" hidden="1" s="201">
      <c r="A32" s="157" t="inlineStr">
        <is>
          <t>Lapochka</t>
        </is>
      </c>
      <c r="B32" s="157" t="inlineStr">
        <is>
          <t>CBD Pear + Ginger</t>
        </is>
      </c>
      <c r="C32" s="86" t="inlineStr">
        <is>
          <t>Vitamin Water</t>
        </is>
      </c>
      <c r="D32" s="82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2" s="159" t="inlineStr">
        <is>
          <t>ж/б 0.33 / 20</t>
        </is>
      </c>
      <c r="F32" s="86" t="inlineStr">
        <is>
          <t>12 мес.</t>
        </is>
      </c>
      <c r="G32" s="92" t="n">
        <v>115</v>
      </c>
      <c r="H32" s="92" t="inlineStr">
        <is>
          <t>много</t>
        </is>
      </c>
      <c r="I32" s="92" t="n">
        <v>0</v>
      </c>
      <c r="J32" s="92">
        <f>PRODUCT(G32,I32)</f>
        <v/>
      </c>
    </row>
    <row r="33" hidden="1" s="201">
      <c r="A33" s="157" t="inlineStr">
        <is>
          <t>Lapochka</t>
        </is>
      </c>
      <c r="B33" s="184" t="inlineStr">
        <is>
          <t>Detox Peach + Passion Fruit</t>
        </is>
      </c>
      <c r="C33" s="86" t="inlineStr">
        <is>
          <t>Vitamin Water</t>
        </is>
      </c>
      <c r="D33" s="129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3" s="159" t="inlineStr">
        <is>
          <t>ж/б 0.33 / 20</t>
        </is>
      </c>
      <c r="F33" s="86" t="inlineStr">
        <is>
          <t>12 мес.</t>
        </is>
      </c>
      <c r="G33" s="92" t="n">
        <v>105</v>
      </c>
      <c r="H33" s="92" t="inlineStr">
        <is>
          <t>много</t>
        </is>
      </c>
      <c r="I33" s="92" t="n">
        <v>0</v>
      </c>
      <c r="J33" s="92">
        <f>PRODUCT(G33,I33)</f>
        <v/>
      </c>
    </row>
    <row r="34" hidden="1" s="201">
      <c r="A34" s="157" t="inlineStr">
        <is>
          <t>Lapochka</t>
        </is>
      </c>
      <c r="B34" s="157" t="inlineStr">
        <is>
          <t>Fizzy Riesling</t>
        </is>
      </c>
      <c r="C34" s="86" t="inlineStr">
        <is>
          <t>Lemonade</t>
        </is>
      </c>
      <c r="D34" s="82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4" s="159" t="inlineStr">
        <is>
          <t>ж/б 0.33 / 20</t>
        </is>
      </c>
      <c r="F34" s="86" t="inlineStr">
        <is>
          <t>12 мес.</t>
        </is>
      </c>
      <c r="G34" s="92" t="n">
        <v>105</v>
      </c>
      <c r="H34" s="93" t="inlineStr">
        <is>
          <t>много</t>
        </is>
      </c>
      <c r="I34" s="92" t="n">
        <v>0</v>
      </c>
      <c r="J34" s="92">
        <f>PRODUCT(G34,I34)</f>
        <v/>
      </c>
    </row>
    <row r="35" hidden="1" s="201">
      <c r="A35" s="157" t="inlineStr">
        <is>
          <t>Lapochka</t>
        </is>
      </c>
      <c r="B35" s="157" t="inlineStr">
        <is>
          <t>Grapefruit + Lemon</t>
        </is>
      </c>
      <c r="C35" s="86" t="inlineStr">
        <is>
          <t>Lemonade</t>
        </is>
      </c>
      <c r="D35" s="82" t="inlineStr">
        <is>
          <t>Освежающий лимонад с классическим сочетанием лимона и грейпфрута.</t>
        </is>
      </c>
      <c r="E35" s="159" t="inlineStr">
        <is>
          <t>ж/б 0.33 / 20</t>
        </is>
      </c>
      <c r="F35" s="86" t="inlineStr">
        <is>
          <t>12 мес.</t>
        </is>
      </c>
      <c r="G35" s="92" t="n">
        <v>105</v>
      </c>
      <c r="H35" s="92" t="inlineStr">
        <is>
          <t>много</t>
        </is>
      </c>
      <c r="I35" s="92" t="n">
        <v>0</v>
      </c>
      <c r="J35" s="92">
        <f>PRODUCT(G35,I35)</f>
        <v/>
      </c>
    </row>
    <row r="36" hidden="1" s="201">
      <c r="A36" s="157" t="inlineStr">
        <is>
          <t>Lapochka</t>
        </is>
      </c>
      <c r="B36" s="157" t="inlineStr">
        <is>
          <t>Mango + Сhili</t>
        </is>
      </c>
      <c r="C36" s="86" t="inlineStr">
        <is>
          <t>Lemonade</t>
        </is>
      </c>
      <c r="D36" s="82" t="inlineStr">
        <is>
          <t>Смесь тайского манго и слегка искрящего на послевкусии чили.</t>
        </is>
      </c>
      <c r="E36" s="159" t="inlineStr">
        <is>
          <t>ж/б 0.33 / 20</t>
        </is>
      </c>
      <c r="F36" s="86" t="inlineStr">
        <is>
          <t>12 мес.</t>
        </is>
      </c>
      <c r="G36" s="92" t="n">
        <v>105</v>
      </c>
      <c r="H36" s="93" t="inlineStr">
        <is>
          <t>много</t>
        </is>
      </c>
      <c r="I36" s="92" t="n">
        <v>0</v>
      </c>
      <c r="J36" s="92">
        <f>PRODUCT(G36,I36)</f>
        <v/>
      </c>
    </row>
    <row r="37" hidden="1" s="201">
      <c r="A37" s="157" t="inlineStr">
        <is>
          <t>Lapochka</t>
        </is>
      </c>
      <c r="B37" s="157" t="inlineStr">
        <is>
          <t>Peach + Verbena</t>
        </is>
      </c>
      <c r="C37" s="86" t="inlineStr">
        <is>
          <t>Lemonade</t>
        </is>
      </c>
      <c r="D37" s="82" t="inlineStr">
        <is>
          <t>Нежное сочетание сока белого персика и ароматных цветов вербены - новый вкус от  lapochka.</t>
        </is>
      </c>
      <c r="E37" s="159" t="inlineStr">
        <is>
          <t>ж/б 0.33 / 20</t>
        </is>
      </c>
      <c r="F37" s="86" t="inlineStr">
        <is>
          <t>12 мес.</t>
        </is>
      </c>
      <c r="G37" s="92" t="n">
        <v>105</v>
      </c>
      <c r="H37" s="93" t="inlineStr">
        <is>
          <t>много</t>
        </is>
      </c>
      <c r="I37" s="92" t="n">
        <v>0</v>
      </c>
      <c r="J37" s="92">
        <f>PRODUCT(G37,I37)</f>
        <v/>
      </c>
    </row>
    <row r="38" hidden="1" s="201">
      <c r="A38" s="157" t="inlineStr">
        <is>
          <t>Lapochka</t>
        </is>
      </c>
      <c r="B38" s="157" t="inlineStr">
        <is>
          <t>Pineapple + Lychee</t>
        </is>
      </c>
      <c r="C38" s="86" t="inlineStr">
        <is>
          <t>Lemonade</t>
        </is>
      </c>
      <c r="D38" s="82" t="inlineStr">
        <is>
          <t>Натуральный сок ананаса с добавлением сока плода личи.</t>
        </is>
      </c>
      <c r="E38" s="159" t="inlineStr">
        <is>
          <t>ж/б 0.33 / 20</t>
        </is>
      </c>
      <c r="F38" s="86" t="inlineStr">
        <is>
          <t>12 мес.</t>
        </is>
      </c>
      <c r="G38" s="92" t="n">
        <v>105</v>
      </c>
      <c r="H38" s="92" t="inlineStr">
        <is>
          <t>много</t>
        </is>
      </c>
      <c r="I38" s="92" t="n">
        <v>0</v>
      </c>
      <c r="J38" s="92">
        <f>PRODUCT(G38,I38)</f>
        <v/>
      </c>
    </row>
    <row r="39" hidden="1" s="201">
      <c r="A39" s="157" t="inlineStr">
        <is>
          <t>Lapochka</t>
        </is>
      </c>
      <c r="B39" s="157" t="inlineStr">
        <is>
          <t>Watermelon + Melissa</t>
        </is>
      </c>
      <c r="C39" s="86" t="inlineStr">
        <is>
          <t>Lemonade</t>
        </is>
      </c>
      <c r="D39" s="82" t="inlineStr">
        <is>
          <t>Смесь сочного спелого арбуза и ароматной мелиссы.</t>
        </is>
      </c>
      <c r="E39" s="159" t="inlineStr">
        <is>
          <t>ж/б 0.33 / 20</t>
        </is>
      </c>
      <c r="F39" s="86" t="inlineStr">
        <is>
          <t>12 мес.</t>
        </is>
      </c>
      <c r="G39" s="92" t="n">
        <v>105</v>
      </c>
      <c r="H39" s="93" t="inlineStr">
        <is>
          <t>много</t>
        </is>
      </c>
      <c r="I39" s="92" t="n">
        <v>0</v>
      </c>
      <c r="J39" s="92">
        <f>PRODUCT(G39,I39)</f>
        <v/>
      </c>
    </row>
    <row r="40" hidden="1" s="201">
      <c r="A40" s="208" t="inlineStr">
        <is>
          <t>Ostrovica г. Аша</t>
        </is>
      </c>
      <c r="B40" s="204" t="n"/>
      <c r="C40" s="204" t="n"/>
      <c r="D40" s="204" t="n"/>
      <c r="E40" s="204" t="n"/>
      <c r="F40" s="204" t="n"/>
      <c r="G40" s="204" t="n"/>
      <c r="H40" s="206" t="n"/>
      <c r="I40" s="144" t="n">
        <v>0</v>
      </c>
      <c r="J40" s="144" t="n"/>
    </row>
    <row r="41" hidden="1" s="201">
      <c r="A41" s="185" t="inlineStr">
        <is>
          <t>Ostrovica</t>
        </is>
      </c>
      <c r="B41" s="128" t="inlineStr">
        <is>
          <t>Easy Hazy</t>
        </is>
      </c>
      <c r="C41" s="112" t="inlineStr">
        <is>
          <t>NE PA</t>
        </is>
      </c>
      <c r="D41" s="129" t="inlineStr">
        <is>
          <t>Безалкогольный New England Pale Ale.</t>
        </is>
      </c>
      <c r="E41" s="159" t="inlineStr">
        <is>
          <t>ж/б 0.45 / 20</t>
        </is>
      </c>
      <c r="F41" s="86" t="inlineStr">
        <is>
          <t>12 мес.</t>
        </is>
      </c>
      <c r="G41" s="131" t="n">
        <v>195</v>
      </c>
      <c r="H41" s="92" t="inlineStr">
        <is>
          <t>много</t>
        </is>
      </c>
      <c r="I41" s="92" t="n">
        <v>0</v>
      </c>
      <c r="J41" s="92">
        <f>PRODUCT(G41,I41)</f>
        <v/>
      </c>
    </row>
    <row r="42" hidden="1" s="201">
      <c r="A42" s="185" t="inlineStr">
        <is>
          <t>Ostrovica</t>
        </is>
      </c>
      <c r="B42" s="83" t="inlineStr">
        <is>
          <t>Easy Hops</t>
        </is>
      </c>
      <c r="C42" s="86" t="inlineStr">
        <is>
          <t>IPA</t>
        </is>
      </c>
      <c r="D42" s="82" t="inlineStr">
        <is>
          <t>Безалкогольный IPA с ярким ароматом и выраженной горечью, полученным благодаря охмелению Citra, Cascade и Mosaic.</t>
        </is>
      </c>
      <c r="E42" s="159" t="inlineStr">
        <is>
          <t>ж/б 0.45 / 20</t>
        </is>
      </c>
      <c r="F42" s="86" t="inlineStr">
        <is>
          <t>12 мес.</t>
        </is>
      </c>
      <c r="G42" s="92" t="n">
        <v>199</v>
      </c>
      <c r="H42" s="92" t="inlineStr">
        <is>
          <t>много</t>
        </is>
      </c>
      <c r="I42" s="92" t="n">
        <v>0</v>
      </c>
      <c r="J42" s="92">
        <f>PRODUCT(G42,I42)</f>
        <v/>
      </c>
    </row>
    <row r="43" hidden="1" s="201">
      <c r="A43" s="185" t="inlineStr">
        <is>
          <t>Ostrovica</t>
        </is>
      </c>
      <c r="B43" s="128" t="inlineStr">
        <is>
          <t>Easy Pils</t>
        </is>
      </c>
      <c r="C43" s="112" t="inlineStr">
        <is>
          <t>Pils</t>
        </is>
      </c>
      <c r="D43" s="129" t="inlineStr">
        <is>
          <t>Тот самый легендарный пилснер от Ostrovica в безалкогольной версии.</t>
        </is>
      </c>
      <c r="E43" s="159" t="inlineStr">
        <is>
          <t>ж/б 0.45 / 20</t>
        </is>
      </c>
      <c r="F43" s="86" t="inlineStr">
        <is>
          <t>12 мес.</t>
        </is>
      </c>
      <c r="G43" s="131" t="n">
        <v>179</v>
      </c>
      <c r="H43" s="92" t="inlineStr">
        <is>
          <t>много</t>
        </is>
      </c>
      <c r="I43" s="92" t="n">
        <v>0</v>
      </c>
      <c r="J43" s="92">
        <f>PRODUCT(G43,I43)</f>
        <v/>
      </c>
    </row>
    <row r="44" hidden="1" s="201">
      <c r="A44" s="205" t="inlineStr">
        <is>
          <t>On The Bones Brewery г. Санкт-Петербург</t>
        </is>
      </c>
      <c r="B44" s="204" t="n"/>
      <c r="C44" s="204" t="n"/>
      <c r="D44" s="204" t="n"/>
      <c r="E44" s="204" t="n"/>
      <c r="F44" s="204" t="n"/>
      <c r="G44" s="204" t="n"/>
      <c r="H44" s="206" t="n"/>
      <c r="I44" s="90" t="n">
        <v>0</v>
      </c>
      <c r="J44" s="90" t="n"/>
    </row>
    <row r="45" hidden="1" s="201">
      <c r="A45" s="185" t="inlineStr">
        <is>
          <t>On The Bones</t>
        </is>
      </c>
      <c r="B45" s="132" t="inlineStr">
        <is>
          <t>Sober Mate</t>
        </is>
      </c>
      <c r="C45" s="179" t="inlineStr">
        <is>
          <t>Gose</t>
        </is>
      </c>
      <c r="D45" s="186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5" s="178" t="inlineStr">
        <is>
          <t>ж/б 0.45 / 20</t>
        </is>
      </c>
      <c r="F45" s="62" t="inlineStr">
        <is>
          <t>12 мес.</t>
        </is>
      </c>
      <c r="G45" s="182" t="n">
        <v>169</v>
      </c>
      <c r="H45" s="93" t="inlineStr">
        <is>
          <t>много</t>
        </is>
      </c>
      <c r="I45" s="92" t="n">
        <v>0</v>
      </c>
      <c r="J45" s="92">
        <f>PRODUCT(G45,I45)</f>
        <v/>
      </c>
    </row>
    <row r="46" hidden="1" s="201">
      <c r="A46" s="205" t="inlineStr">
        <is>
          <t>Rebel Apple г. Москва</t>
        </is>
      </c>
      <c r="B46" s="204" t="n"/>
      <c r="C46" s="204" t="n"/>
      <c r="D46" s="204" t="n"/>
      <c r="E46" s="204" t="n"/>
      <c r="F46" s="204" t="n"/>
      <c r="G46" s="204" t="n"/>
      <c r="H46" s="206" t="n"/>
      <c r="I46" s="90" t="n">
        <v>0</v>
      </c>
      <c r="J46" s="90" t="n"/>
    </row>
    <row r="47" hidden="1" s="201">
      <c r="A47" s="185" t="inlineStr">
        <is>
          <t>Rebel Apple</t>
        </is>
      </c>
      <c r="B47" s="187" t="inlineStr">
        <is>
          <t>Nympho</t>
        </is>
      </c>
      <c r="C47" s="62" t="inlineStr">
        <is>
          <t>Cider</t>
        </is>
      </c>
      <c r="D47" s="18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7" s="86" t="inlineStr">
        <is>
          <t>бут 0.33 / 20</t>
        </is>
      </c>
      <c r="F47" s="62" t="inlineStr">
        <is>
          <t>12 мес.</t>
        </is>
      </c>
      <c r="G47" s="93" t="n">
        <v>159</v>
      </c>
      <c r="H47" s="189" t="inlineStr">
        <is>
          <t>ожидается поступление</t>
        </is>
      </c>
      <c r="I47" s="92" t="n">
        <v>0</v>
      </c>
      <c r="J47" s="92">
        <f>PRODUCT(G47,I47)</f>
        <v/>
      </c>
    </row>
    <row r="48" hidden="1" s="201">
      <c r="A48" s="90" t="inlineStr">
        <is>
          <t>Red Button Brewery г. Москва</t>
        </is>
      </c>
      <c r="B48" s="202" t="n"/>
      <c r="C48" s="202" t="n"/>
      <c r="D48" s="202" t="n"/>
      <c r="E48" s="202" t="n"/>
      <c r="F48" s="202" t="n"/>
      <c r="G48" s="202" t="n"/>
      <c r="H48" s="203" t="n"/>
      <c r="I48" s="90" t="n">
        <v>0</v>
      </c>
      <c r="J48" s="90" t="n"/>
    </row>
    <row r="49" hidden="1" s="201">
      <c r="A49" s="192" t="inlineStr">
        <is>
          <t>Red Button</t>
        </is>
      </c>
      <c r="B49" s="83" t="inlineStr">
        <is>
          <t>C U 2NITE</t>
        </is>
      </c>
      <c r="C49" s="86" t="inlineStr">
        <is>
          <t>Cherry Beer</t>
        </is>
      </c>
      <c r="D49" s="82" t="inlineStr">
        <is>
          <t>Безалкогольное пиво с добавлением вишневого сока и миндаля.</t>
        </is>
      </c>
      <c r="E49" s="159" t="inlineStr">
        <is>
          <t>ж/б 0.45 / 20</t>
        </is>
      </c>
      <c r="F49" s="86" t="inlineStr">
        <is>
          <t>12 мес.</t>
        </is>
      </c>
      <c r="G49" s="92" t="n">
        <v>169</v>
      </c>
      <c r="H49" s="93" t="inlineStr">
        <is>
          <t>много</t>
        </is>
      </c>
      <c r="I49" s="92" t="n">
        <v>0</v>
      </c>
      <c r="J49" s="92">
        <f>PRODUCT(G49,I49)</f>
        <v/>
      </c>
    </row>
    <row r="50" hidden="1" s="201">
      <c r="A50" s="192" t="inlineStr">
        <is>
          <t>Red Button</t>
        </is>
      </c>
      <c r="B50" s="83" t="inlineStr">
        <is>
          <t>Dancing With Your Demons</t>
        </is>
      </c>
      <c r="C50" s="86" t="inlineStr">
        <is>
          <t>Non Alco Beer</t>
        </is>
      </c>
      <c r="D50" s="82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0" s="159" t="inlineStr">
        <is>
          <t>ж/б 0.45 / 20</t>
        </is>
      </c>
      <c r="F50" s="86" t="inlineStr">
        <is>
          <t>12 мес.</t>
        </is>
      </c>
      <c r="G50" s="92" t="n">
        <v>169</v>
      </c>
      <c r="H50" s="93" t="inlineStr">
        <is>
          <t>много</t>
        </is>
      </c>
      <c r="I50" s="92" t="n">
        <v>0</v>
      </c>
      <c r="J50" s="92">
        <f>PRODUCT(G50,I50)</f>
        <v/>
      </c>
    </row>
    <row r="51" hidden="1" s="201">
      <c r="A51" s="192" t="inlineStr">
        <is>
          <t>Red Button</t>
        </is>
      </c>
      <c r="B51" s="83" t="inlineStr">
        <is>
          <t>Larousse Gastronomique (Watermelon)</t>
        </is>
      </c>
      <c r="C51" s="86" t="inlineStr">
        <is>
          <t>Non Alco Beer</t>
        </is>
      </c>
      <c r="D51" s="82" t="inlineStr">
        <is>
          <t>Безалкогольное пиво с добавлением арбуза.</t>
        </is>
      </c>
      <c r="E51" s="159" t="inlineStr">
        <is>
          <t>ж/б 0.45 / 20</t>
        </is>
      </c>
      <c r="F51" s="86" t="inlineStr">
        <is>
          <t>12 мес.</t>
        </is>
      </c>
      <c r="G51" s="92" t="n">
        <v>169</v>
      </c>
      <c r="H51" s="93" t="inlineStr">
        <is>
          <t>много</t>
        </is>
      </c>
      <c r="I51" s="92" t="n">
        <v>0</v>
      </c>
      <c r="J51" s="92">
        <f>PRODUCT(G51,I51)</f>
        <v/>
      </c>
    </row>
    <row r="52" hidden="1" s="201">
      <c r="A52" s="192" t="inlineStr">
        <is>
          <t>Red Button</t>
        </is>
      </c>
      <c r="B52" s="160" t="inlineStr">
        <is>
          <t>Go the N.A.</t>
        </is>
      </c>
      <c r="C52" s="107" t="inlineStr">
        <is>
          <t>Gose</t>
        </is>
      </c>
      <c r="D52" s="190" t="inlineStr">
        <is>
          <t>Классический безалкогольный гозе.</t>
        </is>
      </c>
      <c r="E52" s="191" t="inlineStr">
        <is>
          <t>ж/б 0.45 / 20</t>
        </is>
      </c>
      <c r="F52" s="107" t="inlineStr">
        <is>
          <t>12 мес.</t>
        </is>
      </c>
      <c r="G52" s="109" t="n">
        <v>165</v>
      </c>
      <c r="H52" s="109" t="inlineStr">
        <is>
          <t>много</t>
        </is>
      </c>
      <c r="I52" s="92" t="n">
        <v>0</v>
      </c>
      <c r="J52" s="92">
        <f>PRODUCT(G52,I52)</f>
        <v/>
      </c>
    </row>
    <row r="53" hidden="1" s="201">
      <c r="A53" s="192" t="inlineStr">
        <is>
          <t>Red Button</t>
        </is>
      </c>
      <c r="B53" s="85" t="inlineStr">
        <is>
          <t>Go the N.A. (Kalamansi Batch)</t>
        </is>
      </c>
      <c r="C53" s="86" t="inlineStr">
        <is>
          <t>Gose</t>
        </is>
      </c>
      <c r="D53" s="82" t="inlineStr">
        <is>
          <t>Безалкогольный гозе с каламинси.</t>
        </is>
      </c>
      <c r="E53" s="159" t="inlineStr">
        <is>
          <t>ж/б 0.45 / 20</t>
        </is>
      </c>
      <c r="F53" s="86" t="inlineStr">
        <is>
          <t>12 мес.</t>
        </is>
      </c>
      <c r="G53" s="92" t="n">
        <v>165</v>
      </c>
      <c r="H53" s="92" t="inlineStr">
        <is>
          <t>много</t>
        </is>
      </c>
      <c r="I53" s="92" t="n">
        <v>0</v>
      </c>
      <c r="J53" s="92">
        <f>PRODUCT(G53,I53)</f>
        <v/>
      </c>
    </row>
    <row r="54" hidden="1" s="201">
      <c r="A54" s="192" t="inlineStr">
        <is>
          <t>Red Button</t>
        </is>
      </c>
      <c r="B54" s="85" t="inlineStr">
        <is>
          <t>Larousse Gastronomique</t>
        </is>
      </c>
      <c r="C54" s="86" t="inlineStr">
        <is>
          <t>Sour Ale</t>
        </is>
      </c>
      <c r="D54" s="82" t="inlineStr">
        <is>
          <t>Безалкогольный саур эль с клюквой.</t>
        </is>
      </c>
      <c r="E54" s="159" t="inlineStr">
        <is>
          <t>ж/б 0.45 / 20</t>
        </is>
      </c>
      <c r="F54" s="86" t="inlineStr">
        <is>
          <t>12 мес.</t>
        </is>
      </c>
      <c r="G54" s="92" t="n">
        <v>169</v>
      </c>
      <c r="H54" s="92" t="inlineStr">
        <is>
          <t>много</t>
        </is>
      </c>
      <c r="I54" s="92" t="n">
        <v>0</v>
      </c>
      <c r="J54" s="92">
        <f>PRODUCT(G54,I54)</f>
        <v/>
      </c>
    </row>
    <row r="55" hidden="1" s="201">
      <c r="A55" s="192" t="inlineStr">
        <is>
          <t>Red Button</t>
        </is>
      </c>
      <c r="B55" s="83" t="inlineStr">
        <is>
          <t>U R AWSM!</t>
        </is>
      </c>
      <c r="C55" s="86" t="inlineStr">
        <is>
          <t>Smoothie</t>
        </is>
      </c>
      <c r="D55" s="82" t="inlineStr">
        <is>
          <t>Extra Quadro Fruited Non-Alcoholic Sour Ale.</t>
        </is>
      </c>
      <c r="E55" s="159" t="inlineStr">
        <is>
          <t>ж/б 0.33 / 20</t>
        </is>
      </c>
      <c r="F55" s="86" t="inlineStr">
        <is>
          <t>12 мес.</t>
        </is>
      </c>
      <c r="G55" s="92" t="n">
        <v>159</v>
      </c>
      <c r="H55" s="92" t="inlineStr">
        <is>
          <t>много</t>
        </is>
      </c>
      <c r="I55" s="92" t="n">
        <v>0</v>
      </c>
      <c r="J55" s="92">
        <f>PRODUCT(G55,I55)</f>
        <v/>
      </c>
    </row>
    <row r="56" hidden="1" s="201">
      <c r="A56" s="192" t="inlineStr">
        <is>
          <t>Red Button</t>
        </is>
      </c>
      <c r="B56" s="83" t="inlineStr">
        <is>
          <t>XOXO</t>
        </is>
      </c>
      <c r="C56" s="86" t="inlineStr">
        <is>
          <t>Sour Ale</t>
        </is>
      </c>
      <c r="D56" s="82" t="inlineStr">
        <is>
          <t>Клубничный безалкогольный кислый эль на закисленной солодовой базе с добавлением сока и пюре клубники.</t>
        </is>
      </c>
      <c r="E56" s="159" t="inlineStr">
        <is>
          <t>ж/б 0.5 / 20</t>
        </is>
      </c>
      <c r="F56" s="86" t="inlineStr">
        <is>
          <t>12 мес.</t>
        </is>
      </c>
      <c r="G56" s="92" t="n">
        <v>169</v>
      </c>
      <c r="H56" s="92" t="inlineStr">
        <is>
          <t>много</t>
        </is>
      </c>
      <c r="I56" s="92" t="n">
        <v>0</v>
      </c>
      <c r="J56" s="92">
        <f>PRODUCT(G56,I56)</f>
        <v/>
      </c>
    </row>
    <row r="57" hidden="1" s="201">
      <c r="A57" s="90" t="inlineStr">
        <is>
          <t>Steppe &amp; Wind Meadery г. Оренбург</t>
        </is>
      </c>
      <c r="B57" s="202" t="n"/>
      <c r="C57" s="202" t="n"/>
      <c r="D57" s="202" t="n"/>
      <c r="E57" s="202" t="n"/>
      <c r="F57" s="202" t="n"/>
      <c r="G57" s="202" t="n"/>
      <c r="H57" s="203" t="n"/>
      <c r="I57" s="90" t="n">
        <v>0</v>
      </c>
      <c r="J57" s="90" t="n"/>
    </row>
    <row r="58" hidden="1" s="201">
      <c r="A58" s="192" t="inlineStr">
        <is>
          <t>Steppe &amp; Wind</t>
        </is>
      </c>
      <c r="B58" s="192" t="inlineStr">
        <is>
          <t>Чай Габа Абрикос Мята</t>
        </is>
      </c>
      <c r="C58" s="62" t="inlineStr">
        <is>
          <t>Tea</t>
        </is>
      </c>
      <c r="D58" s="193" t="inlineStr">
        <is>
          <t>Чай Габа Абрикос Мята.</t>
        </is>
      </c>
      <c r="E58" s="178" t="inlineStr">
        <is>
          <t>ж/б 0.33 / 20</t>
        </is>
      </c>
      <c r="F58" s="62" t="inlineStr">
        <is>
          <t>12 мес.</t>
        </is>
      </c>
      <c r="G58" s="93" t="n">
        <v>159</v>
      </c>
      <c r="H58" s="93" t="inlineStr">
        <is>
          <t>много</t>
        </is>
      </c>
      <c r="I58" s="92" t="n">
        <v>0</v>
      </c>
      <c r="J58" s="92" t="n">
        <v>10</v>
      </c>
    </row>
    <row r="59" hidden="1" s="201">
      <c r="A59" s="192" t="inlineStr">
        <is>
          <t>Steppe &amp; Wind</t>
        </is>
      </c>
      <c r="B59" s="192" t="inlineStr">
        <is>
          <t>Чай Ромашковый Груша, Лайм</t>
        </is>
      </c>
      <c r="C59" s="62" t="inlineStr">
        <is>
          <t>Tea</t>
        </is>
      </c>
      <c r="D59" s="188" t="inlineStr">
        <is>
          <t>Ромашковый чай с грушей и лаймом.</t>
        </is>
      </c>
      <c r="E59" s="178" t="inlineStr">
        <is>
          <t>ж/б 0.33 / 20</t>
        </is>
      </c>
      <c r="F59" s="62" t="inlineStr">
        <is>
          <t>12 мес.</t>
        </is>
      </c>
      <c r="G59" s="93" t="n">
        <v>159</v>
      </c>
      <c r="H59" s="93" t="inlineStr">
        <is>
          <t>много</t>
        </is>
      </c>
      <c r="I59" s="92" t="n">
        <v>0</v>
      </c>
      <c r="J59" s="92" t="n">
        <v>10</v>
      </c>
    </row>
    <row r="60" hidden="1" s="201">
      <c r="A60" s="192" t="inlineStr">
        <is>
          <t>Steppe &amp; Wind</t>
        </is>
      </c>
      <c r="B60" s="192" t="inlineStr">
        <is>
          <t>Чай Шен Пуэр Грейпфрут Белый</t>
        </is>
      </c>
      <c r="C60" s="62" t="inlineStr">
        <is>
          <t>Tea</t>
        </is>
      </c>
      <c r="D60" s="193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0" s="178" t="inlineStr">
        <is>
          <t>ж/б 0.33 / 20</t>
        </is>
      </c>
      <c r="F60" s="62" t="inlineStr">
        <is>
          <t>12 мес.</t>
        </is>
      </c>
      <c r="G60" s="93" t="n">
        <v>159</v>
      </c>
      <c r="H60" s="93" t="inlineStr">
        <is>
          <t>много</t>
        </is>
      </c>
      <c r="I60" s="92" t="n">
        <v>0</v>
      </c>
      <c r="J60" s="92">
        <f>PRODUCT(G60,I60)</f>
        <v/>
      </c>
    </row>
    <row r="61" hidden="1" s="201">
      <c r="A61" s="192" t="inlineStr">
        <is>
          <t>Steppe &amp; Wind</t>
        </is>
      </c>
      <c r="B61" s="192" t="inlineStr">
        <is>
          <t>Чай Шу Пуэр Гранат Малина</t>
        </is>
      </c>
      <c r="C61" s="62" t="inlineStr">
        <is>
          <t>Tea</t>
        </is>
      </c>
      <c r="D61" s="18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1" s="178" t="inlineStr">
        <is>
          <t>ж/б 0.33 / 20</t>
        </is>
      </c>
      <c r="F61" s="62" t="inlineStr">
        <is>
          <t>12 мес.</t>
        </is>
      </c>
      <c r="G61" s="93" t="n">
        <v>159</v>
      </c>
      <c r="H61" s="93" t="inlineStr">
        <is>
          <t>много</t>
        </is>
      </c>
      <c r="I61" s="92" t="n">
        <v>0</v>
      </c>
      <c r="J61" s="92" t="n">
        <v>10</v>
      </c>
    </row>
    <row r="62" hidden="1" s="201">
      <c r="A62" s="192" t="inlineStr">
        <is>
          <t>Steppe &amp; Wind</t>
        </is>
      </c>
      <c r="B62" s="194" t="inlineStr">
        <is>
          <t>CBD Чай Айва</t>
        </is>
      </c>
      <c r="C62" s="107" t="inlineStr">
        <is>
          <t>Tea</t>
        </is>
      </c>
      <c r="D62" s="195" t="inlineStr">
        <is>
          <t>Конопляный чай с айвой</t>
        </is>
      </c>
      <c r="E62" s="191" t="inlineStr">
        <is>
          <t>ж/б 0.33 / 20</t>
        </is>
      </c>
      <c r="F62" s="107" t="inlineStr">
        <is>
          <t>12 мес.</t>
        </is>
      </c>
      <c r="G62" s="109" t="n">
        <v>159</v>
      </c>
      <c r="H62" s="109" t="inlineStr">
        <is>
          <t>много</t>
        </is>
      </c>
      <c r="I62" s="92" t="n">
        <v>0</v>
      </c>
      <c r="J62" s="92" t="n">
        <v>10</v>
      </c>
    </row>
    <row r="63" hidden="1" s="201">
      <c r="A63" s="192" t="inlineStr">
        <is>
          <t>Steppe &amp; Wind</t>
        </is>
      </c>
      <c r="B63" s="194" t="inlineStr">
        <is>
          <t>CBD Чай Шиповник</t>
        </is>
      </c>
      <c r="C63" s="107" t="inlineStr">
        <is>
          <t>Tea</t>
        </is>
      </c>
      <c r="D63" s="195" t="inlineStr">
        <is>
          <t>Конопляный чай с шиповником</t>
        </is>
      </c>
      <c r="E63" s="191" t="inlineStr">
        <is>
          <t>ж/б 0.33 / 20</t>
        </is>
      </c>
      <c r="F63" s="107" t="inlineStr">
        <is>
          <t>12 мес.</t>
        </is>
      </c>
      <c r="G63" s="109" t="n">
        <v>159</v>
      </c>
      <c r="H63" s="109" t="inlineStr">
        <is>
          <t>много</t>
        </is>
      </c>
      <c r="I63" s="92" t="n">
        <v>0</v>
      </c>
      <c r="J63" s="92">
        <f>PRODUCT(G63,I63)</f>
        <v/>
      </c>
    </row>
    <row r="64" hidden="1" s="201">
      <c r="A64" s="90" t="inlineStr">
        <is>
          <t>Red Rocket Brewery г. Екатеринбург</t>
        </is>
      </c>
      <c r="B64" s="202" t="n"/>
      <c r="C64" s="202" t="n"/>
      <c r="D64" s="202" t="n"/>
      <c r="E64" s="202" t="n"/>
      <c r="F64" s="202" t="n"/>
      <c r="G64" s="202" t="n"/>
      <c r="H64" s="203" t="n"/>
      <c r="I64" s="90" t="n">
        <v>0</v>
      </c>
      <c r="J64" s="90" t="n"/>
    </row>
    <row r="65" hidden="1" s="201">
      <c r="A65" s="196" t="inlineStr">
        <is>
          <t>Yaki-Da</t>
        </is>
      </c>
      <c r="B65" s="196" t="inlineStr">
        <is>
          <t>Lavender Tonic</t>
        </is>
      </c>
      <c r="C65" s="62" t="inlineStr">
        <is>
          <t>Tonic</t>
        </is>
      </c>
      <c r="D65" s="197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5" s="178" t="inlineStr">
        <is>
          <t>ж/б 0.33 / 20</t>
        </is>
      </c>
      <c r="F65" s="62" t="inlineStr">
        <is>
          <t>12 мес.</t>
        </is>
      </c>
      <c r="G65" s="93" t="n">
        <v>109</v>
      </c>
      <c r="H65" s="48" t="n">
        <v>8</v>
      </c>
      <c r="I65" s="92" t="n">
        <v>0</v>
      </c>
      <c r="J65" s="92">
        <f>PRODUCT(G65,I65)</f>
        <v/>
      </c>
    </row>
    <row r="66" hidden="1" s="201">
      <c r="A66" s="196" t="inlineStr">
        <is>
          <t>Yaki-Da</t>
        </is>
      </c>
      <c r="B66" s="196" t="inlineStr">
        <is>
          <t>Pear Ginger Pepper</t>
        </is>
      </c>
      <c r="C66" s="62" t="inlineStr">
        <is>
          <t>Lemonade</t>
        </is>
      </c>
      <c r="D66" s="197" t="inlineStr">
        <is>
          <t>Лимонад, изготовленный с использованием сока груши, а также с добавлением экстрактов имбиря и 4 перцев.</t>
        </is>
      </c>
      <c r="E66" s="178" t="inlineStr">
        <is>
          <t>ж/б 0.33 / 20</t>
        </is>
      </c>
      <c r="F66" s="62" t="inlineStr">
        <is>
          <t>12 мес.</t>
        </is>
      </c>
      <c r="G66" s="93" t="n">
        <v>109</v>
      </c>
      <c r="H66" s="93" t="inlineStr">
        <is>
          <t>много</t>
        </is>
      </c>
      <c r="I66" s="92" t="n">
        <v>0</v>
      </c>
      <c r="J66" s="92">
        <f>PRODUCT(G66,I66)</f>
        <v/>
      </c>
    </row>
    <row r="67" hidden="1" s="201">
      <c r="A67" s="90" t="inlineStr">
        <is>
          <t>Zagovor г. Москва</t>
        </is>
      </c>
      <c r="B67" s="202" t="n"/>
      <c r="C67" s="202" t="n"/>
      <c r="D67" s="202" t="n"/>
      <c r="E67" s="202" t="n"/>
      <c r="F67" s="202" t="n"/>
      <c r="G67" s="202" t="n"/>
      <c r="H67" s="203" t="n"/>
      <c r="I67" s="90" t="n">
        <v>0</v>
      </c>
      <c r="J67" s="90" t="n"/>
    </row>
    <row r="68" hidden="1" s="201">
      <c r="A68" s="196" t="inlineStr">
        <is>
          <t>Zagovor</t>
        </is>
      </c>
      <c r="B68" s="151" t="inlineStr">
        <is>
          <t>Embrace</t>
        </is>
      </c>
      <c r="C68" s="86" t="inlineStr">
        <is>
          <t>IPA</t>
        </is>
      </c>
      <c r="D68" s="82" t="inlineStr">
        <is>
          <t>Безалкогольный IPA в стиле западного побережья, охмелённый с помощью сухого охмеления Simcoe, Centennial и Citra</t>
        </is>
      </c>
      <c r="E68" s="86" t="inlineStr">
        <is>
          <t>ж/б 0.45 / 20</t>
        </is>
      </c>
      <c r="F68" s="86" t="inlineStr">
        <is>
          <t>12 мес.</t>
        </is>
      </c>
      <c r="G68" s="92" t="n">
        <v>215</v>
      </c>
      <c r="H68" s="92" t="inlineStr">
        <is>
          <t>много</t>
        </is>
      </c>
      <c r="I68" s="92" t="n">
        <v>0</v>
      </c>
      <c r="J68" s="92">
        <f>PRODUCT(G68,I68)</f>
        <v/>
      </c>
    </row>
    <row r="69">
      <c r="A69" s="198" t="n"/>
      <c r="B69" s="199" t="n"/>
      <c r="C69" s="138" t="n"/>
      <c r="D69" s="200" t="n"/>
      <c r="E69" s="138" t="n"/>
      <c r="F69" s="138" t="n"/>
      <c r="G69" s="168" t="n"/>
      <c r="H69" s="168" t="inlineStr">
        <is>
          <t>Итого</t>
        </is>
      </c>
      <c r="I69" s="168" t="n">
        <v>0</v>
      </c>
      <c r="J69" s="168">
        <f>SUM(J3:J68)</f>
        <v/>
      </c>
    </row>
  </sheetData>
  <autoFilter ref="$A$2:$J$69">
    <filterColumn colId="1" hiddenButton="0" showButton="1">
      <filters blank="1">
        <filter val="NON ALCO COFFEE STOUT"/>
        <filter val="NON ALCO ALE GRAPEFRUIT"/>
        <filter val="Watermelon + Melissa"/>
        <filter val="Bench Слива Ваниль"/>
        <filter val="XOXO"/>
        <filter val="Pear Ginger Pepper"/>
        <filter val="Easy Pils"/>
        <filter val="U R AWSM!"/>
        <filter val="Чай Шу Пуэр Гранат Малина"/>
        <filter val="Starovar Non Alco"/>
        <filter val="Larousse Gastronomique (Watermelon)"/>
        <filter val="ТЕХПРОСВЕТ"/>
        <filter val="Fizzy Riesling"/>
        <filter val="ST ANDREWS"/>
        <filter val="Bench Фейхоа Смородина"/>
        <filter val="Dancing With Your Demons"/>
        <filter val="NON ALCO SOUR ALE FEIJOA"/>
        <filter val="CBD Чай Айва"/>
        <filter val="Nympho"/>
        <filter val="Lavender Tonic"/>
        <filter val="Pineapple + Lychee"/>
        <filter val="Non-Alcoholic Mead Cherry"/>
        <filter val="NON ALCO SOUR ALE RASPBERRY"/>
        <filter val="Starovar Non Alco Dark"/>
        <filter val="Mango + Сhili"/>
        <filter val="Go the N.A."/>
        <filter val="Т-Банк Pineapple + Passion fruit + Lemongrass"/>
        <filter val="C U 2NITE"/>
        <filter val="Чай Ромашковый Груша, Лайм"/>
        <filter val="Easy Hops"/>
        <filter val="Сидр Безалкогольный"/>
        <filter val="Larousse Gastronomique"/>
        <filter val="CBD Pear + Ginger"/>
        <filter val="Bench Грейпфрут Малина"/>
        <filter val="Embrace"/>
        <filter val="Detox Peach + Passion Fruit"/>
        <filter val="Easy Hazy"/>
        <filter val="Go the N.A. (Kalamansi Batch)"/>
        <filter val="Сатори"/>
        <filter val="Bench Абрикос Лемонграсс"/>
        <filter val="Чай Шен Пуэр Грейпфрут Белый"/>
        <filter val="Non-alcoholic Mead Жимолость"/>
        <filter val="NON ALCO CLASSIC GOSE"/>
        <filter val="Grapefruit + Lemon"/>
        <filter val="Sober Mate"/>
        <filter val="Non-alcoholic Mead Цитрус"/>
        <filter val="NON ALCO LEMON GOSE"/>
        <filter val="NON ALCO LAGER"/>
        <filter val="Peach + Verbena"/>
        <filter val="Чай Габа Абрикос Мята"/>
        <filter val="CBD Чай Шиповник"/>
      </filters>
    </filterColumn>
    <filterColumn colId="8" hiddenButton="0" showButton="1">
      <filters>
        <filter val="20"/>
        <filter val="10"/>
      </filters>
    </filterColumn>
  </autoFilter>
  <mergeCells count="17">
    <mergeCell ref="A18:H18"/>
    <mergeCell ref="A67:H67"/>
    <mergeCell ref="A48:H48"/>
    <mergeCell ref="A3:H3"/>
    <mergeCell ref="A29:H29"/>
    <mergeCell ref="A1:C1"/>
    <mergeCell ref="A25:H25"/>
    <mergeCell ref="A20:H20"/>
    <mergeCell ref="A57:H57"/>
    <mergeCell ref="A64:H64"/>
    <mergeCell ref="A11:H11"/>
    <mergeCell ref="A14:H14"/>
    <mergeCell ref="A44:H44"/>
    <mergeCell ref="E1:H1"/>
    <mergeCell ref="A46:H46"/>
    <mergeCell ref="A27:H27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6" r:id="rId15"/>
    <hyperlink xmlns:r="http://schemas.openxmlformats.org/officeDocument/2006/relationships" ref="B28" r:id="rId16"/>
    <hyperlink xmlns:r="http://schemas.openxmlformats.org/officeDocument/2006/relationships" ref="B41" r:id="rId17"/>
    <hyperlink xmlns:r="http://schemas.openxmlformats.org/officeDocument/2006/relationships" ref="B42" r:id="rId18"/>
    <hyperlink xmlns:r="http://schemas.openxmlformats.org/officeDocument/2006/relationships" ref="B43" r:id="rId19"/>
    <hyperlink xmlns:r="http://schemas.openxmlformats.org/officeDocument/2006/relationships" ref="B45" r:id="rId20"/>
    <hyperlink xmlns:r="http://schemas.openxmlformats.org/officeDocument/2006/relationships" ref="B47" r:id="rId21"/>
    <hyperlink xmlns:r="http://schemas.openxmlformats.org/officeDocument/2006/relationships" ref="B49" r:id="rId22"/>
    <hyperlink xmlns:r="http://schemas.openxmlformats.org/officeDocument/2006/relationships" ref="B50" r:id="rId23"/>
    <hyperlink xmlns:r="http://schemas.openxmlformats.org/officeDocument/2006/relationships" ref="B51" r:id="rId24"/>
    <hyperlink xmlns:r="http://schemas.openxmlformats.org/officeDocument/2006/relationships" ref="B52" r:id="rId25"/>
    <hyperlink xmlns:r="http://schemas.openxmlformats.org/officeDocument/2006/relationships" ref="B53" r:id="rId26"/>
    <hyperlink xmlns:r="http://schemas.openxmlformats.org/officeDocument/2006/relationships" ref="B54" r:id="rId27"/>
    <hyperlink xmlns:r="http://schemas.openxmlformats.org/officeDocument/2006/relationships" ref="B55" r:id="rId28"/>
    <hyperlink xmlns:r="http://schemas.openxmlformats.org/officeDocument/2006/relationships" ref="B56" r:id="rId29"/>
    <hyperlink xmlns:r="http://schemas.openxmlformats.org/officeDocument/2006/relationships" ref="B68" r:id="rId3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2025-11-04T15:19:20Z</dcterms:created>
  <dcterms:modified xsi:type="dcterms:W3CDTF">2025-11-04T15:19:20Z</dcterms:modified>
</cp:coreProperties>
</file>