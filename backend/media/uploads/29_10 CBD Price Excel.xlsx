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асовка" sheetId="1" r:id="rId4"/>
    <sheet state="visible" name="Розлив" sheetId="2" r:id="rId5"/>
    <sheet state="visible" name="БА" sheetId="3" r:id="rId6"/>
  </sheets>
  <definedNames>
    <definedName hidden="1" localSheetId="0" name="_xlnm._FilterDatabase">'Фасовка'!$A$2:$K$430</definedName>
    <definedName hidden="1" localSheetId="1" name="_xlnm._FilterDatabase">'Розлив'!$A$2:$J$139</definedName>
    <definedName hidden="1" localSheetId="2" name="_xlnm._FilterDatabase">'БА'!$A$2:$J$69</definedName>
  </definedNames>
  <calcPr/>
</workbook>
</file>

<file path=xl/sharedStrings.xml><?xml version="1.0" encoding="utf-8"?>
<sst xmlns="http://schemas.openxmlformats.org/spreadsheetml/2006/main" count="4207" uniqueCount="1426">
  <si>
    <r>
      <rPr>
        <rFont val="Calibri"/>
        <sz val="12.0"/>
      </rPr>
      <t xml:space="preserve">Прайс обновлён 28.10
Минимальный заказ - 40 банок или 1 кег, дробим фасовку кратно 1 шт
Развоз по будням
</t>
    </r>
    <r>
      <rPr>
        <rFont val="Calibri"/>
        <b/>
        <color rgb="FFFF0000"/>
        <sz val="12.0"/>
      </rPr>
      <t xml:space="preserve">Розлив и Б/А находятся на отдельных вкладках
</t>
    </r>
    <r>
      <rPr>
        <rFont val="Calibri"/>
        <sz val="12.0"/>
      </rPr>
      <t xml:space="preserve">Канал CBD в тг 
</t>
    </r>
    <r>
      <rPr>
        <rFont val="Calibri"/>
        <color rgb="FF1155CC"/>
        <sz val="12.0"/>
        <u/>
      </rPr>
      <t>t.me/Custom_Beer_Distribution</t>
    </r>
  </si>
  <si>
    <t xml:space="preserve"> По вопросам сотрудничества :
+79111719232 Илья
+79921603173 Кирилл
+79009040900 Руслан
+79627197918 Денис
+79650461234 Роман
sales@mrvg.ru</t>
  </si>
  <si>
    <t>Наименование пивоварни</t>
  </si>
  <si>
    <t>Наименование</t>
  </si>
  <si>
    <t>Стиль</t>
  </si>
  <si>
    <t>ABV / OG / IBU</t>
  </si>
  <si>
    <t>Описание</t>
  </si>
  <si>
    <t>Тип фасовки / кол-во в уп</t>
  </si>
  <si>
    <t xml:space="preserve">Срок годности </t>
  </si>
  <si>
    <t>Цена</t>
  </si>
  <si>
    <t>Наличие</t>
  </si>
  <si>
    <t>Заказ</t>
  </si>
  <si>
    <t>Коломенская Пивоварня г. Коломна</t>
  </si>
  <si>
    <t>Коломенская Пивоварня</t>
  </si>
  <si>
    <t>Starovar ЖИГУЛИ ОSOBOE</t>
  </si>
  <si>
    <t>Lager</t>
  </si>
  <si>
    <t>4 / 11 / 20</t>
  </si>
  <si>
    <t>Классика, в лучших ее проявлениях!</t>
  </si>
  <si>
    <t>ж/б 0.45 / 20</t>
  </si>
  <si>
    <t>6 мес.</t>
  </si>
  <si>
    <t>новинка</t>
  </si>
  <si>
    <t>Starovar APA</t>
  </si>
  <si>
    <t>APA</t>
  </si>
  <si>
    <t>5,1 / 12 / 27</t>
  </si>
  <si>
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</si>
  <si>
    <t>Starovar Belgian Ale</t>
  </si>
  <si>
    <t>Belgian Blonde</t>
  </si>
  <si>
    <t>5,5 / 13 / 20</t>
  </si>
  <si>
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</si>
  <si>
    <t>Starovar Black Velvet</t>
  </si>
  <si>
    <t>Dark Lager</t>
  </si>
  <si>
    <t>5,8 / 15 / -</t>
  </si>
  <si>
    <t>Варится по особой рецептуре из пяти сортов солода, придающих пиву насыщенный темный цвет, карамельный аромат и бархатный вкус.</t>
  </si>
  <si>
    <t>Starovar English Porter</t>
  </si>
  <si>
    <t>Porter</t>
  </si>
  <si>
    <t>6,7 / 17 / 20</t>
  </si>
  <si>
    <t>Выверенный баланс светлых и темных солодов в сочетании с английским хмелем создают впечатление поездки в омнибусе по улицам Лондона.</t>
  </si>
  <si>
    <t>Starovar Greenwich</t>
  </si>
  <si>
    <t>English Ale</t>
  </si>
  <si>
    <t>5,3 / 12 / 20</t>
  </si>
  <si>
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</si>
  <si>
    <t>Starovar IPA</t>
  </si>
  <si>
    <t>IPA</t>
  </si>
  <si>
    <t>6,5 / 16,5 / 37</t>
  </si>
  <si>
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</si>
  <si>
    <t>Starovar Munchen Helles</t>
  </si>
  <si>
    <t>Helles</t>
  </si>
  <si>
    <t>4,9 / 12 / 15</t>
  </si>
  <si>
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</si>
  <si>
    <t>Starovar Prazsky Lezák</t>
  </si>
  <si>
    <t>Bohemian Pilsner</t>
  </si>
  <si>
    <t>4,6 / 12 / 25</t>
  </si>
  <si>
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</si>
  <si>
    <t>Starovar Weizen</t>
  </si>
  <si>
    <t>Hefeweizen</t>
  </si>
  <si>
    <t>4,8 / 12 / -</t>
  </si>
  <si>
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</si>
  <si>
    <t>МедА Сибири г. Томск</t>
  </si>
  <si>
    <t>МедА Сибири</t>
  </si>
  <si>
    <t>Медовый пломбир с клюквой</t>
  </si>
  <si>
    <t>Mead</t>
  </si>
  <si>
    <t xml:space="preserve">6 / - / - </t>
  </si>
  <si>
    <t>Как на счёт Sour-Mead заправленного медовым пломбиром и сиропом из вкуснейшей, сладко-кисло-горькой сибирской клюквы?!</t>
  </si>
  <si>
    <t>12 мес.</t>
  </si>
  <si>
    <t>много</t>
  </si>
  <si>
    <t>Медовый пломбир с малиной</t>
  </si>
  <si>
    <t>Sour-Mead медовый пломбир с кисло-сладким малиновым сиропом из самого сердца Сибири. Взболтать. Употребить охлажденным.</t>
  </si>
  <si>
    <t>Медовый пломбир с черной смородиной и гуанабаной</t>
  </si>
  <si>
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</si>
  <si>
    <t>Apple,Cherry Punch Mead (Пунш Яблоко-Вишня)</t>
  </si>
  <si>
    <t>Melomel</t>
  </si>
  <si>
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</si>
  <si>
    <t>Apricot Mead</t>
  </si>
  <si>
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</si>
  <si>
    <t>Cowberry Bochet</t>
  </si>
  <si>
    <t>Bochet</t>
  </si>
  <si>
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</si>
  <si>
    <t>Mead Cherry</t>
  </si>
  <si>
    <t>В производстве "Mead Cherry" используется вываренная сухая вишня с косточкой, отдающая напитку полноту вишнёвого вкуса и танинность косточки.</t>
  </si>
  <si>
    <t>Mead Citrus</t>
  </si>
  <si>
    <t>Сложный купаж из мёда, апельсина, грейпфрута, имбиря и корицы.</t>
  </si>
  <si>
    <t>Mead Cyser</t>
  </si>
  <si>
    <t>Зелёное, кислое яблоко, сладкий сибирский мёд и винные дрожжи.</t>
  </si>
  <si>
    <t>Mead Honeysuckle</t>
  </si>
  <si>
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</si>
  <si>
    <t>Mead Mango Сhili</t>
  </si>
  <si>
    <t>Восхитительный смузи - мид с огромным количеством пюре манго, легкой кислинкой лайма и дерзким послевкусием перца Чили.</t>
  </si>
  <si>
    <t>Mead Sea-Buckthorn</t>
  </si>
  <si>
    <t>Баланс облепихового сока прямого отжима с мякотью и мёд - даёт удивительный кисло-сладкий вкус и целый багаж витаминов.</t>
  </si>
  <si>
    <t>Mead Traditional</t>
  </si>
  <si>
    <t>5 / - / -</t>
  </si>
  <si>
    <t>Таёжный мёд, вода и винные дрожжи. В меру сладкая классика в лучшем своём проявлении.</t>
  </si>
  <si>
    <t>Pomegranate &amp; Hibiscus Bochet</t>
  </si>
  <si>
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</si>
  <si>
    <t>Quince &amp; Dogwood Mead (Айва - Кизил)</t>
  </si>
  <si>
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</si>
  <si>
    <t>Raspberry, Lime, Mint Mead</t>
  </si>
  <si>
    <t>Мёд сибирского разнотравья, спелая садовая малина, долька лайма и веточка мяты создают баланс вкуса и аромата этого сорта.</t>
  </si>
  <si>
    <t>Strawberry &amp; Banana Pie Mead</t>
  </si>
  <si>
    <t>Сочная дачная клубника, спелый банан и только что испеченный бисквит создают вкус этого десертного мида.</t>
  </si>
  <si>
    <t>Одна Тонна г. Жуковский</t>
  </si>
  <si>
    <t>Одна Тонна</t>
  </si>
  <si>
    <t>Отличный Урожай</t>
  </si>
  <si>
    <t>6 / 16 / 75</t>
  </si>
  <si>
    <t>Классика жанра. Очень ароматный горьковатый эль, в охмелении которого использовано пять сортов хмеля.</t>
  </si>
  <si>
    <t>ж/б 0.5 / 20</t>
  </si>
  <si>
    <t>8 мес.</t>
  </si>
  <si>
    <t>Рыжая Соня</t>
  </si>
  <si>
    <t>6,2 / 16 / 54</t>
  </si>
  <si>
    <t>Ginger IPA. Ароматный, горьковатый, очень яркий во вкусе, красный эль, с добавлением имбиря, сваренный совместно с Олегом Едигаровым.</t>
  </si>
  <si>
    <t>Селестиал: Strata, Citra, Mosaic</t>
  </si>
  <si>
    <t>AIPA</t>
  </si>
  <si>
    <t>6,8 / 15,5 / -</t>
  </si>
  <si>
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Mosaic.</t>
  </si>
  <si>
    <t>Утро Туманное</t>
  </si>
  <si>
    <t>NE IPA</t>
  </si>
  <si>
    <t>6 / 16,5 / -</t>
  </si>
  <si>
    <t>Освежающий пэйл эль в вермонтском стиле! За вкусоароматику, как и раньше, отвечают хмели Simcoe, Citra и El Dorado. Живая классика пивоварни "Одна тонна".</t>
  </si>
  <si>
    <t>Эбру Черная смородина, Малина, Гранат, Арония</t>
  </si>
  <si>
    <t>6 / - / -</t>
  </si>
  <si>
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</si>
  <si>
    <t>Desítka</t>
  </si>
  <si>
    <t>4 / 10,5 / -</t>
  </si>
  <si>
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</si>
  <si>
    <t>Honeypot: Вишня</t>
  </si>
  <si>
    <t>Honeypot с нежно любимой нами вишней, которая передала мёду характерную кислинку и летнюю сочность.</t>
  </si>
  <si>
    <t>Honeypot: Черная Смородина</t>
  </si>
  <si>
    <t>Обновленный Honeypot - линейка медовых напитков от Пивоварни «Одна тонна»! Легкие, освежающие сессионные миды с фруктами и ягодами.</t>
  </si>
  <si>
    <t>Hyperpink: Citra Cryo, Krush, Motueka</t>
  </si>
  <si>
    <t>6,5 / 16,5 / -</t>
  </si>
  <si>
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</si>
  <si>
    <t>Luna Park: Апельсин Грейпфрут Персик</t>
  </si>
  <si>
    <t>Luna Park - обновленная серия смузи мидов от Пивоварни "Одна тонна". Обманчиво лёгкие и удивительно питкие, они в каждом глотке содержат нежность пюре фруктов и ягод и сладость отборного мёда.</t>
  </si>
  <si>
    <t>Luna Park: Манго Грейпфрут Апельсин</t>
  </si>
  <si>
    <t>Smoothie Mead с манго, грейпфрутом и апельсином.</t>
  </si>
  <si>
    <t>Luna Park: Персик Манго Апельсин</t>
  </si>
  <si>
    <t>Smoothie Mead с манго, апельсином и персиком.</t>
  </si>
  <si>
    <t>Mr. Golding</t>
  </si>
  <si>
    <t>6 / 18 / -</t>
  </si>
  <si>
    <t>Основательный темный эль для любителей британской классики. Сварен с использованием знаменитого британского хмеля East Kent Golding.</t>
  </si>
  <si>
    <t>Schukowski Pils / Жуковский Пилс</t>
  </si>
  <si>
    <t>Pils</t>
  </si>
  <si>
    <t xml:space="preserve">4,6 / - / - </t>
  </si>
  <si>
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</si>
  <si>
    <t>Žukovskij Ležák / Жуковский Лежак</t>
  </si>
  <si>
    <t xml:space="preserve">4,5 / - / - </t>
  </si>
  <si>
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</si>
  <si>
    <t>Сидродельня Леонида Леврана г. Изборск</t>
  </si>
  <si>
    <t>Сидродельня Леонида Леврана</t>
  </si>
  <si>
    <t>Сидр Сухой Старый Изборск бут 0.33</t>
  </si>
  <si>
    <t>Cider</t>
  </si>
  <si>
    <t>5,5 / - / -</t>
  </si>
  <si>
    <t>Старый Изборск — базовый и чистый, с яркой яблочной кислотностью и лёгкой мягкостью.</t>
  </si>
  <si>
    <t>бут 0.33 / 12</t>
  </si>
  <si>
    <t>24 мес.</t>
  </si>
  <si>
    <t>Сидр Сухой Старый Изборск 0.75</t>
  </si>
  <si>
    <t>бут 0.75 / 6</t>
  </si>
  <si>
    <t>ожидается поступление</t>
  </si>
  <si>
    <t>Сидр Полусухой Псковский Терруар бут 0.33</t>
  </si>
  <si>
    <t>Псковский терруар — баланс свежей кислотности и сладости яблок с небольшой терпкостью на послевкусии.</t>
  </si>
  <si>
    <t>Сидр Полусухой Псковский Терруар 0.75</t>
  </si>
  <si>
    <t>Сидр Полусладкий 862 бут 0.33</t>
  </si>
  <si>
    <t>862 — Десертный сидр. Яркая ароматика бисквита, насыщенный вкус печёных яблок.</t>
  </si>
  <si>
    <t>Сидр Полусладкий 862 0.75</t>
  </si>
  <si>
    <t>Сидр Сухой Пуаре 0.75</t>
  </si>
  <si>
    <t>Cider - Poiré</t>
  </si>
  <si>
    <t>Пуаре - бленд столовых и диких груш. Сухой, с обволакивающей вяжущей терпкостью.</t>
  </si>
  <si>
    <r>
      <rPr>
        <rFont val="Calibri"/>
        <b/>
        <color rgb="FF000000"/>
        <sz val="12.0"/>
        <u/>
      </rPr>
      <t xml:space="preserve">Сидр Полусухой Органический </t>
    </r>
    <r>
      <rPr>
        <rFont val="Calibri"/>
        <b/>
        <color rgb="FF000000"/>
        <sz val="12.0"/>
        <u/>
      </rPr>
      <t>бут 0.33</t>
    </r>
  </si>
  <si>
    <t>Сидр из яблок сорта Флорина, выращенных в органическом саду в Кабардино-Балкарии. Во вкусе оттенки дыни и терпкость яблочных семечек.</t>
  </si>
  <si>
    <t>Сидр Полусухой Органический 0.75</t>
  </si>
  <si>
    <t>Сидр Сухой Ревень ж/б 0.33</t>
  </si>
  <si>
    <t>Сухой сидр с ревенем. Хрустящая кислотность, терпкость кожуры и оттенки сена на послевкусии.</t>
  </si>
  <si>
    <t>Сидр Полусухой Hop Me бут 0.33</t>
  </si>
  <si>
    <t>Насыщенный с мягкой кислотностью и легким охмелением с цитрусово-тропическими тонами. Добавили хмели: Mosaic, Amarillo, Cascade.</t>
  </si>
  <si>
    <t>Сидр Полусухой Hop Me ж/б 0.33</t>
  </si>
  <si>
    <t>Сидр Сухой Hop Me бут 0.33</t>
  </si>
  <si>
    <t>Сухой с яркой кислотностью и легким охмелением, на послевкусии древесные тона. Добавили хмели: Mosaic, Amarillo, Cascade.</t>
  </si>
  <si>
    <t>Сидр Сухой Hop Me ж/б 0.33</t>
  </si>
  <si>
    <t>Чаща г. Москва</t>
  </si>
  <si>
    <t>Чаща</t>
  </si>
  <si>
    <t>Дзен и искусство ухода за каламанси</t>
  </si>
  <si>
    <t>Fruited Gose</t>
  </si>
  <si>
    <t>5,5 / 14 / -</t>
  </si>
  <si>
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</si>
  <si>
    <t>ж/б 0.45 / 12</t>
  </si>
  <si>
    <t xml:space="preserve">12 мес. </t>
  </si>
  <si>
    <t>Дзен и искусство ухода за цитрусами</t>
  </si>
  <si>
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</si>
  <si>
    <t>Дислексия</t>
  </si>
  <si>
    <t>DDH Pilsner</t>
  </si>
  <si>
    <t>5,3 / 12,5 / 40</t>
  </si>
  <si>
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</si>
  <si>
    <t>Королева пентаклей</t>
  </si>
  <si>
    <t>Sour Ale</t>
  </si>
  <si>
    <t>6 / 16 / -</t>
  </si>
  <si>
    <t>Королева Пентаклей. Силу ей сообщает черноплодная рябина с её таннинами и зрелой кислотностью, чуткость - натуральная сладкая вишня.</t>
  </si>
  <si>
    <t>Сон Масала Мандарин</t>
  </si>
  <si>
    <t>6,5 / 17 / -</t>
  </si>
  <si>
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</si>
  <si>
    <t>Тотем</t>
  </si>
  <si>
    <t>6,5 / 14,5 / 55</t>
  </si>
  <si>
    <t>West Coast IPA, охмелённый Ekuanot, Simcoe и Idaho 7.</t>
  </si>
  <si>
    <t>Тотем - Медведь</t>
  </si>
  <si>
    <t>7,5 / 17 / 52</t>
  </si>
  <si>
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</si>
  <si>
    <t>Cambridge Music</t>
  </si>
  <si>
    <t>Session IPA</t>
  </si>
  <si>
    <t>3,5 / 9 / 37</t>
  </si>
  <si>
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</si>
  <si>
    <t>2 Barrels Brewery г. Санкт-Петербург</t>
  </si>
  <si>
    <t>2 Barrels Brewery</t>
  </si>
  <si>
    <t>Банановые Мозги</t>
  </si>
  <si>
    <t>Hopfenweisse</t>
  </si>
  <si>
    <t>6 / 16 / 20</t>
  </si>
  <si>
    <t>«Банановые мозги» Немецкий вайцен с сухим охмелением свежайшим Цитра. Великолепное смешение классических вкусов и ароматов.</t>
  </si>
  <si>
    <t>Don Mazilic</t>
  </si>
  <si>
    <t>Imperial Sour Ale</t>
  </si>
  <si>
    <t>7 / 17,5 / 10</t>
  </si>
  <si>
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</si>
  <si>
    <t>Ipacalypse Now</t>
  </si>
  <si>
    <t>WC IPA</t>
  </si>
  <si>
    <t>6,5 / 16 / 50</t>
  </si>
  <si>
    <t>Сухой и уверенно горький west-coast IPA. Добротно охмелен Idaho7, Motueka, и Citra cryo.</t>
  </si>
  <si>
    <t>Staroparkala</t>
  </si>
  <si>
    <t>5 / 12 / 30</t>
  </si>
  <si>
    <t>Авторская интерпретация на тему Пилснера. Сухой, с уверенной горечью, и благородной ароматикой Немецкого хмеля Hallertau blanc.</t>
  </si>
  <si>
    <t>4 Brewers г. Владимир</t>
  </si>
  <si>
    <t>4 Brewers</t>
  </si>
  <si>
    <t>Аддикция</t>
  </si>
  <si>
    <t>Crystal Tomato Gose</t>
  </si>
  <si>
    <t>6,5 / - / -</t>
  </si>
  <si>
    <t>Насыщенный светлый кислый эль. Сочный пряный вкус сушёных томатов, немного соли и яркие ноты базилика, кориандра и паприки.</t>
  </si>
  <si>
    <t>Аджика Многолика</t>
  </si>
  <si>
    <t>Tomato Gose</t>
  </si>
  <si>
    <t>Насыщенный светлый кислый эль. Сочные томаты, пикантная солёность и яркий, пряный, чесночно-перечный вкус и аромат аджики.</t>
  </si>
  <si>
    <t>Вторая Личность</t>
  </si>
  <si>
    <t>6,9 / 18 / 20</t>
  </si>
  <si>
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</si>
  <si>
    <t>Выгорание</t>
  </si>
  <si>
    <t>Berliner Weisse</t>
  </si>
  <si>
    <t>5 / 12 / -</t>
  </si>
  <si>
    <t>Лёгкий светлый эль. Умеренно кислый, с ярким вкусом и ароматом манго и апельсина.</t>
  </si>
  <si>
    <t>За Лисички Поясняем В Личке</t>
  </si>
  <si>
    <t>Gose</t>
  </si>
  <si>
    <t>5 / 14 / -</t>
  </si>
  <si>
    <t>Насыщенный светлый кислый эль. Яркий вкус поджарки из лисичек с выраженным, но ненавязчивым ароматом свежего укропа, чесночка и специй.</t>
  </si>
  <si>
    <t>Зависимость</t>
  </si>
  <si>
    <t>Лёгкий светлый кислый эль. Насыщенный, сочный томатный вкус, чуть соли, немного базилика и кориандра, и капелька пряной паприки.</t>
  </si>
  <si>
    <t>Зависимость Базилик</t>
  </si>
  <si>
    <t>Насыщенный светлый кислый эль. Сочный томатный вкус, чуть соли и яркий аромат свежего базилика.</t>
  </si>
  <si>
    <t>Зависимость Кинза</t>
  </si>
  <si>
    <t>4,5 / - / -</t>
  </si>
  <si>
    <t>Насыщенный светлый кислый эль. Сочный томатный вкус, чуть соли и яркий аромат свежей кинзы.</t>
  </si>
  <si>
    <t>Зависимость Копченая</t>
  </si>
  <si>
    <t>6,9 / - / -</t>
  </si>
  <si>
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</si>
  <si>
    <t>Зависимость Чёрный перец</t>
  </si>
  <si>
    <t xml:space="preserve">6,9 / - / - </t>
  </si>
  <si>
    <t>Насыщенный светлый кислый эль. Сочный томатный вкус, чуть соли и яркий аромат чёрного перца.</t>
  </si>
  <si>
    <t>Кислота Grapefruit</t>
  </si>
  <si>
    <t>Насыщенный светлый эль. Выраженно кислый, немного сладкий, с ярким ароматом и вкусом сочного грейпфрута.</t>
  </si>
  <si>
    <t>Мачо Гаспачо</t>
  </si>
  <si>
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</si>
  <si>
    <t>Не Кричи на Кимчи</t>
  </si>
  <si>
    <t>5 / 12,5 / -</t>
  </si>
  <si>
    <t>Насыщенный светлый кислый эль. Сочный томатный вкус, чуть соли и яркий пряно-жгучий аромат кимчи.</t>
  </si>
  <si>
    <t>Нежность</t>
  </si>
  <si>
    <t>Насыщенный кислый эль. Яркий аромат и вкус клюквы, нежные ванильные ноты зефира, умеренная кислотность и консистенция смузи.</t>
  </si>
  <si>
    <t>Рассол дико зол</t>
  </si>
  <si>
    <t>Vegetable Gose</t>
  </si>
  <si>
    <t>4,5 / 12 / -</t>
  </si>
  <si>
    <t>Насыщенный светлый кисло-солёный эль со вкусом и ароматом рассольных огурцов, томатов и специй.</t>
  </si>
  <si>
    <t>Стихия</t>
  </si>
  <si>
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</si>
  <si>
    <t>Супер-Эго</t>
  </si>
  <si>
    <t>Double Pastry Stout</t>
  </si>
  <si>
    <t>10 / 28 / -</t>
  </si>
  <si>
    <t>Тёмный насыщенный крепкий эль. Достаточно сладкий, плотный, согревающий, со вкусом и ароматом кокоса, шоколада и кофе.</t>
  </si>
  <si>
    <t>ж/б 0.33 / 12</t>
  </si>
  <si>
    <t>Том Ям Мастер Драм</t>
  </si>
  <si>
    <t>Насыщенный светлый кислый эль. Немного соленый, пряный, с ярким ароматом и вкусом острого супа том ям.</t>
  </si>
  <si>
    <t>Чешская деситка</t>
  </si>
  <si>
    <t>Desitka</t>
  </si>
  <si>
    <t xml:space="preserve">4 / 10 / - </t>
  </si>
  <si>
    <t>Светлый, сбалансированный лагер. Чистый солодовый вкус, благородная горчинка хмеля и сухой, освежающий финиш.</t>
  </si>
  <si>
    <t>Kiss My Soul</t>
  </si>
  <si>
    <t>NE DIPA</t>
  </si>
  <si>
    <t>7,5 / 20 / -</t>
  </si>
  <si>
    <t>Насыщенный светлый эль. Сочный, густой, мутный. С явной, но ненавязчивой горечью и цитрусово-хвойным ароматом американских хмелей.</t>
  </si>
  <si>
    <t>9 мес.</t>
  </si>
  <si>
    <t>Mein Konig</t>
  </si>
  <si>
    <t>Doppelbock</t>
  </si>
  <si>
    <t>7 / 18 / -</t>
  </si>
  <si>
    <t>Крепкий солодовый лагер в немецком стиле. Плотный, насыщенный, с глубоким солодовым вкусом и ароматом тостов, карамели и темных фруктов.</t>
  </si>
  <si>
    <t>18 мес.</t>
  </si>
  <si>
    <t>Neuro Juice Banana Mango Guava Pineapple Passionfruit Orange</t>
  </si>
  <si>
    <t>Smoothie</t>
  </si>
  <si>
    <t>Густой насыщенный кислый эль. Мягкий вкус и аромат тропических фруктов дополняется ненавязчивой кислинкой и консистенцией смузи.</t>
  </si>
  <si>
    <t>Neuro Juice Black Currant, Strawberry, Cranberry, Raspberry, Cherry, Cowberry</t>
  </si>
  <si>
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</si>
  <si>
    <t>Neuro Juice Mango, Passionfruit</t>
  </si>
  <si>
    <t>Густой насыщенный кислый эль. Мягкий вкус и аромат манго и маракуйи дополняется ненавязчивой кислинкой и консистенцией смузи.</t>
  </si>
  <si>
    <t>Neuro Juice Orange Pulp, Mango, Pineapple</t>
  </si>
  <si>
    <t>Густой насыщенный кислый эль. Яркий аромат и вкус манго: цитрусов и ананаса, умеренная кислотность и консистенция смузи.</t>
  </si>
  <si>
    <t>Potato Day</t>
  </si>
  <si>
    <t>Лёгкий освежающий кисло-солёный эль со вкусом и ароматом натуральных картофельных чипсов.</t>
  </si>
  <si>
    <t>Santa Muerte</t>
  </si>
  <si>
    <t>Stout</t>
  </si>
  <si>
    <t>6,5 / 16 / 35</t>
  </si>
  <si>
    <t>Кофейный стаут – темный эль, сухой, насыщенный, с ярким вкусом и ароматом кофе и прожаренного солода.</t>
  </si>
  <si>
    <t>Turn Pineapple</t>
  </si>
  <si>
    <t>Лёгкий светлый эль. Умеренно кислый, с ярким вкусом и ароматом ананаса.</t>
  </si>
  <si>
    <t>ж/б 0.5 / 12</t>
  </si>
  <si>
    <t>Atmosphere Brewery г. Клин</t>
  </si>
  <si>
    <t>Atmosphere Brewery</t>
  </si>
  <si>
    <t>Аномалия</t>
  </si>
  <si>
    <t>8 /21 / 30</t>
  </si>
  <si>
    <t>Классический крепкий портер ,плотный многослойный солодовый вкус и насыщенный темный цвет не оставят вас равнодушными к этому напитку.</t>
  </si>
  <si>
    <t>Дела Ламы</t>
  </si>
  <si>
    <t>5,5 / 11 / -</t>
  </si>
  <si>
    <t>Освежающее пшеничное кислое пиво с добавлением немецких хмелей и пюре ананаса и лемонграсса.</t>
  </si>
  <si>
    <t>Кислый движ</t>
  </si>
  <si>
    <t>6,5 / 20 / -</t>
  </si>
  <si>
    <t>Sour ale c добавлением пюре дыни сорта канталупа, нежнейшего пюре индийского розового банана, сока ананаса и пюре персика сорта эрли рэд.</t>
  </si>
  <si>
    <t>Летний вайб Малина</t>
  </si>
  <si>
    <t>5,5 / 13 / -</t>
  </si>
  <si>
    <t>Освежающее пшеничное кислое пиво с добавлением немецких хмелей и сока  малины.</t>
  </si>
  <si>
    <t>Летний вайб Черная смородина</t>
  </si>
  <si>
    <t>Освежающее пшеничное кислое пиво с добавлением немецких хмелей и пюре черной смородины.</t>
  </si>
  <si>
    <t>На десерт Банан, Клубника, Ваниль</t>
  </si>
  <si>
    <t>6 / 21 / -</t>
  </si>
  <si>
    <t>Десертный кислый эль сваренный с добавлением пюре банана ,пюре клубники и палочек мадагаскарской ванили.</t>
  </si>
  <si>
    <t>На десерт Банан, Красный апельсин, Миндаль, Ваниль)</t>
  </si>
  <si>
    <t xml:space="preserve">6 / 21 / - </t>
  </si>
  <si>
    <t>Десертный кислый эль сваренный с добавлением сока красного апельсина,пюре банана ,миндаля и палочек ванили.</t>
  </si>
  <si>
    <t>На Десерт Вишневый пирог</t>
  </si>
  <si>
    <t>Десертный кислый эль сваренный с добавлением вишни в собственном соку, бисквита и  палочек мадагаскарской ванили.</t>
  </si>
  <si>
    <t>На десерт Яблоко Корица Печенье</t>
  </si>
  <si>
    <t>Десертный кислый эль, сваренный с добавлением пюре яблок, корицы и песочного сливочного печенья.</t>
  </si>
  <si>
    <t>Психоделический Трип</t>
  </si>
  <si>
    <t>6,9 / 21 / 30</t>
  </si>
  <si>
    <t>Классический крепкий портер с добавлением соленой карамели.</t>
  </si>
  <si>
    <t>Пылающая Дичь</t>
  </si>
  <si>
    <t>6,9 / 17 / 10</t>
  </si>
  <si>
    <t>Extra Hot Tomato Imperial Gose с добавлением соуса Tabasco и перца Carolina Reaper.</t>
  </si>
  <si>
    <t>ж/б 0.33 / 20</t>
  </si>
  <si>
    <t>Томатная Дичь</t>
  </si>
  <si>
    <t>6,5 / 16 / 10</t>
  </si>
  <si>
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</si>
  <si>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Карри</t>
  </si>
  <si>
    <t>6,5 / 16</t>
  </si>
  <si>
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</si>
  <si>
    <t>Томатная Дичь Кимчи</t>
  </si>
  <si>
    <t>6,5 / 16 / -</t>
  </si>
  <si>
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</si>
  <si>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Копченая</t>
  </si>
  <si>
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</si>
  <si>
    <t>Томатная Дичь Мичелада</t>
  </si>
  <si>
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</si>
  <si>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Мостарда</t>
  </si>
  <si>
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</si>
  <si>
    <t>Томатная Дичь Острая</t>
  </si>
  <si>
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</si>
  <si>
    <t>Тропическая Дичь</t>
  </si>
  <si>
    <t>6 / 14 / 10</t>
  </si>
  <si>
    <t>Сочное воплощение тропического торнадо . Кислый саур-эль, сваренный с добавлением мякоти маракуйи и ананаса.</t>
  </si>
  <si>
    <t>Удар Тайсона</t>
  </si>
  <si>
    <t>8,5 / 22 / 16</t>
  </si>
  <si>
    <t>Плотный темный эль ,где преобладающую позицию занимают нотки кофе, солода, шоколада ,со сливочным послевкусием.</t>
  </si>
  <si>
    <t xml:space="preserve">Full immersion </t>
  </si>
  <si>
    <t>Стаут с добавлением жареного фундука.</t>
  </si>
  <si>
    <t>Mousse Cake Raspberry Apricot</t>
  </si>
  <si>
    <t>6,9 / 20 / -</t>
  </si>
  <si>
    <t>Pastry sour ale с добавлением малины,абрикоса,миндаля и бисквита. Коллаборация с Big Pot.</t>
  </si>
  <si>
    <t>Sour Club</t>
  </si>
  <si>
    <t>Кислый эль с добавлением сока гуавы, лайма и пюре клубники.</t>
  </si>
  <si>
    <t>Tropical Mix</t>
  </si>
  <si>
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</si>
  <si>
    <t>Big Pot г. Ростов-на-Дону</t>
  </si>
  <si>
    <t>Big Pot</t>
  </si>
  <si>
    <t>4 Anniversary Smoothie Ale</t>
  </si>
  <si>
    <t>6,5 /21 / -</t>
  </si>
  <si>
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</si>
  <si>
    <t>Вспышка</t>
  </si>
  <si>
    <t>Второй рекордсмен по плотности в наших рядах - настоящая Вспышка вкуса и энергии! Яркий, сладкий абрикос, кислинка лимона и сочные ноты малины!</t>
  </si>
  <si>
    <t>ПИРОГ Маракуйя, Слива, Малина</t>
  </si>
  <si>
    <t>Наше прочтение любимого десерта с кусочками малины, сливы и экзотической маракуйи.</t>
  </si>
  <si>
    <t>ПИРОГ Маракуйя, Клубника</t>
  </si>
  <si>
    <t>Клубника, маракуйя, нотки пирога — ярко, кисло-сладко, уютно.</t>
  </si>
  <si>
    <t>Ромашка</t>
  </si>
  <si>
    <t>Wild Ale</t>
  </si>
  <si>
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</si>
  <si>
    <t>Смузикальная пауза</t>
  </si>
  <si>
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</si>
  <si>
    <t>BIG CLASH!</t>
  </si>
  <si>
    <t>Sour IPA</t>
  </si>
  <si>
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</si>
  <si>
    <t>Birds Guava, Kiwi, Raspberry, Pineapple</t>
  </si>
  <si>
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</si>
  <si>
    <t>BIRDS Lychee, Mango, Banana, Passion Fruit</t>
  </si>
  <si>
    <t xml:space="preserve">Яркий, тропический смузи , сочетающий сладость, кислинку и кремовую текстуру. Идеально для жаркого дня. </t>
  </si>
  <si>
    <t>Birds Mango, Strawberry. Watermelon</t>
  </si>
  <si>
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</si>
  <si>
    <t>BIRDS Passion Fruit, Pineapple, Mango, Banana</t>
  </si>
  <si>
    <t xml:space="preserve">Яркий, тропический кисло-сладкий коктейль.  Сладкое  манго, свежий ананас, легкий цитрусовый шлейф маракуйи на воздушной подушке нежного мягкого банана. </t>
  </si>
  <si>
    <t>FIRST LOVE: BLACK CURRANT &amp; BANANA &amp; RASPBERRY</t>
  </si>
  <si>
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</si>
  <si>
    <t>Serotonin: Black Currant, Blueberry, Mango</t>
  </si>
  <si>
    <t>Плотный саур-эль с массивными нотами черной смородины и черники, дополненные индийским манго.</t>
  </si>
  <si>
    <t>Serotonin: Guava, Banana, Raspberry, Blackberry</t>
  </si>
  <si>
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</si>
  <si>
    <t>Serotonin: Guava, Papaya, Peach, Raspberry</t>
  </si>
  <si>
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</si>
  <si>
    <t>Serotonin: Mango, Plum, Peach</t>
  </si>
  <si>
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</si>
  <si>
    <t>Serotonin: Strawberry, Guava</t>
  </si>
  <si>
    <t>Кислый эль с огромным количеством клубники и розовой гуавы, стойкой красивейшей пеной и прекрасным ароматом.</t>
  </si>
  <si>
    <t>TOMATO TOMATO UKROP</t>
  </si>
  <si>
    <t xml:space="preserve">Новая версия наших томатных гозе - укропная. </t>
  </si>
  <si>
    <t>Very Tasty</t>
  </si>
  <si>
    <t>Пастри саур эль с красной  смородиной,  ежевикой и легким, едва уловимым послевкусием воздушного зефира и гуавы.</t>
  </si>
  <si>
    <t>Big Village Brewery г. Краснодар</t>
  </si>
  <si>
    <t>Big Village</t>
  </si>
  <si>
    <t>ABC-Kölsch</t>
  </si>
  <si>
    <t>Kölsch</t>
  </si>
  <si>
    <t>5,5 / 12,7 / 20</t>
  </si>
  <si>
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</si>
  <si>
    <t xml:space="preserve">ABC-Weizen </t>
  </si>
  <si>
    <t>5,5 / 13 / 15</t>
  </si>
  <si>
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</si>
  <si>
    <t>Backyard Party</t>
  </si>
  <si>
    <t>American Lager</t>
  </si>
  <si>
    <t>5 / 12 / 20</t>
  </si>
  <si>
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</si>
  <si>
    <t>Duck Stories</t>
  </si>
  <si>
    <t>Fruited Sour Ale</t>
  </si>
  <si>
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</si>
  <si>
    <t>Fruitride</t>
  </si>
  <si>
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</si>
  <si>
    <t>MOMIJIGARI</t>
  </si>
  <si>
    <t xml:space="preserve">Экстра вишнёвый Сауэр Эль вдохновленный театром Кабуки и 紅葉狩り. Плод коллаборации с локальным брендом уличной одежды - KUL'TURA.
</t>
  </si>
  <si>
    <t>No-Sleep Time</t>
  </si>
  <si>
    <t>7 / 19 / -</t>
  </si>
  <si>
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</si>
  <si>
    <t>Repose</t>
  </si>
  <si>
    <t>4,5 / 12 / 35</t>
  </si>
  <si>
    <t>Сессионный АйПиЭй охмеленный Krush/Simcoe. Лёгкий, светлый, сухой, с ярким ароматом и уверенной горечью.</t>
  </si>
  <si>
    <t>Seven Shimmers</t>
  </si>
  <si>
    <t>DDH Oat Cream 
NEDIPA</t>
  </si>
  <si>
    <t>8 / 22 / 40</t>
  </si>
  <si>
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</si>
  <si>
    <t>Solar Pressure (Orange ed.)</t>
  </si>
  <si>
    <t>Fruited Witbier</t>
  </si>
  <si>
    <t>4,5 / 11,5 / 15</t>
  </si>
  <si>
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</si>
  <si>
    <t>Tiny Love</t>
  </si>
  <si>
    <t>DDH NE IPA</t>
  </si>
  <si>
    <t>6,5 / 16,5 / 35</t>
  </si>
  <si>
    <t xml:space="preserve">Хейзи АйПиЭй с увесистой долей пшеницы,  охмелённый свежими гранулами Mosaic/Sabro/Simcoe. </t>
  </si>
  <si>
    <t>Village Stout</t>
  </si>
  <si>
    <t>Oatmeal Stout</t>
  </si>
  <si>
    <t>6 / 15 / 40</t>
  </si>
  <si>
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</si>
  <si>
    <t>Who Is Here?</t>
  </si>
  <si>
    <t>NE Pale Ale</t>
  </si>
  <si>
    <t>5 / 13 / 25</t>
  </si>
  <si>
    <t>Лёгкий и насыщенный Хейзи Пейл Эль, охмеленный двойной порцией свежих гранул Cashmere/Citra/Crush.</t>
  </si>
  <si>
    <t>WIND OF FEAR</t>
  </si>
  <si>
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</si>
  <si>
    <t>Boozy Kitchen г. Москва</t>
  </si>
  <si>
    <t>Boozy Kitchen</t>
  </si>
  <si>
    <t>Встреча</t>
  </si>
  <si>
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</si>
  <si>
    <t>Второе дыхание</t>
  </si>
  <si>
    <t xml:space="preserve">5,5 / 17 / - </t>
  </si>
  <si>
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</si>
  <si>
    <t>Boxing Wizard Brewery г. Москва</t>
  </si>
  <si>
    <t>Boxing Wizard</t>
  </si>
  <si>
    <t>Banshee</t>
  </si>
  <si>
    <t>Imperial Porter</t>
  </si>
  <si>
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</si>
  <si>
    <t>Braw Chuchter</t>
  </si>
  <si>
    <t>Scottish Export Ale</t>
  </si>
  <si>
    <t>4 / 11 / 18</t>
  </si>
  <si>
    <t>Эль в шотландской традиции, немного карамели, немного жжёнки - всего понемногу (шотландцы - люди экономные).</t>
  </si>
  <si>
    <t>Conwy Castle</t>
  </si>
  <si>
    <t>4,5 / 11 / 30</t>
  </si>
  <si>
    <t>Классический пилс, сухой и лёгкий с балансирующей горечью английского хмеля East Kent Golding и Citra.</t>
  </si>
  <si>
    <t>Dogmatic</t>
  </si>
  <si>
    <t>Best Bitter</t>
  </si>
  <si>
    <t>4 / 11 / 19</t>
  </si>
  <si>
    <t>Биттер в лучших английских традициях, английский солод, хмель и дрожжи - всё догматично. Коллаборация с Пивоварней "Чаща" и боттлшопом DOGMA.</t>
  </si>
  <si>
    <t>Irish Wolf</t>
  </si>
  <si>
    <t>5,5 / 13 / 45</t>
  </si>
  <si>
    <t>Лёгкий IPA с мягкой горечью и округлым вкусом, на охмелении Citra и First Gold.</t>
  </si>
  <si>
    <t>Jackeen</t>
  </si>
  <si>
    <t>Irish Red Ale</t>
  </si>
  <si>
    <t>4 / 10 / 17</t>
  </si>
  <si>
    <t>Классический ирландский красный эль - сухой, питкий и лёгкий.</t>
  </si>
  <si>
    <t>Maythorn</t>
  </si>
  <si>
    <t>4,8 / 11,5 / 30</t>
  </si>
  <si>
    <t>Светлый эль в современном стиле, на холодном охмелении - Citra и Centennial.</t>
  </si>
  <si>
    <t>Moxie</t>
  </si>
  <si>
    <t>ESB</t>
  </si>
  <si>
    <t>5,4 / 13,5 / 30</t>
  </si>
  <si>
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</si>
  <si>
    <t>Sound Bevvy</t>
  </si>
  <si>
    <t>Hoppy Amber Lager</t>
  </si>
  <si>
    <t>4 / 10,5 / 29</t>
  </si>
  <si>
    <t>Лёгкий янтарный лагер с выразительной горечью. Коллаборация с клубом болельщиков Liverpool FC - Moskopites. YNWA!</t>
  </si>
  <si>
    <t>Suckin Diesel Hell</t>
  </si>
  <si>
    <t>5 / 12 / 18</t>
  </si>
  <si>
    <t>Наша дань уважения континентальному пиву - баварский хель. Только светлый солод, лагеровые дрожи и хмель Hallertauer Mittelfrüh.</t>
  </si>
  <si>
    <t>DIETA г. Санкт-Петербург</t>
  </si>
  <si>
    <t>DIETA</t>
  </si>
  <si>
    <t>В Собственном Соку: Вишня</t>
  </si>
  <si>
    <t>Strong Fruit 
Beer</t>
  </si>
  <si>
    <t>7 / - / -</t>
  </si>
  <si>
    <t>Насыщенная, яркая, крепкая и коварная вишенка. Сочная и спелая. Пейте с наслаждением и ответственно!</t>
  </si>
  <si>
    <t>В Собственном Соку: Клюква</t>
  </si>
  <si>
    <t>Насыщенная, яркая, крепкая и коварная клюковка. Сочная и спелая. Пейте с наслаждением и ответственно!</t>
  </si>
  <si>
    <t>Десерт В Твоем Бокале</t>
  </si>
  <si>
    <t>RIS</t>
  </si>
  <si>
    <t>11 / - / -</t>
  </si>
  <si>
    <t>Десертный имперский стаут.</t>
  </si>
  <si>
    <t>Острый Синьор Помидор</t>
  </si>
  <si>
    <t>Лучший Острый Томатный Гозе.</t>
  </si>
  <si>
    <t>Синьор Помидор и Братец Базилик</t>
  </si>
  <si>
    <t>Лучший Томатный Гозе с Базиликом.</t>
  </si>
  <si>
    <t>Синьор Помидор и Друг Его Тимьян</t>
  </si>
  <si>
    <t>Лучший Томатный Гозе с Тимьяном!</t>
  </si>
  <si>
    <t>Drink ‘Em All</t>
  </si>
  <si>
    <t xml:space="preserve">Золотистый пилснер в чешском стиле. Хорошо сбалансированный, с чистой горечью и уверенным солодовым телом. </t>
  </si>
  <si>
    <t>Hot Smoothie You Deserve: Mango</t>
  </si>
  <si>
    <t>Smoothie Sour</t>
  </si>
  <si>
    <t>Острый smoothie sour манго/чили.</t>
  </si>
  <si>
    <t>ISO FUCKING TONIC</t>
  </si>
  <si>
    <t>4,6 / - / -</t>
  </si>
  <si>
    <t>Гозе с лаймом и розмарином. Максимально фунцкциональный, бодрящий и вкусный!</t>
  </si>
  <si>
    <t>Seven Lands</t>
  </si>
  <si>
    <t>Russian Imperial Stout, приуроченный к семилетию DIETA.</t>
  </si>
  <si>
    <t>Seven Seas</t>
  </si>
  <si>
    <t>Классический гозе, приуроченный к семилетию DIETA.</t>
  </si>
  <si>
    <t>Tropical Domination</t>
  </si>
  <si>
    <t>Smoothie sour с розовой гуавой, персиком и манго.</t>
  </si>
  <si>
    <t>Gas Brew г. Санкт-Петербург</t>
  </si>
  <si>
    <t>Gas Brew</t>
  </si>
  <si>
    <t>Hidden Garden #6</t>
  </si>
  <si>
    <t>НЕ СМУЗИ. Саур с Черной смородиной и Базиликом.</t>
  </si>
  <si>
    <t>Northern Nomad</t>
  </si>
  <si>
    <t>5,1 / - / -</t>
  </si>
  <si>
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</si>
  <si>
    <t>Summertime IPA</t>
  </si>
  <si>
    <t>Классический West Coast IPA сваренный в коллаборации с пивоварней HOBOS. Яркий характер, питкость и узнаваемый вкус делают этот напиток идеальным компаньоном человека, выбравшего каменные джунгли. Citra × Mosaic × Nectaron.</t>
  </si>
  <si>
    <t>Horror Brewing г. Москва</t>
  </si>
  <si>
    <t>Horror</t>
  </si>
  <si>
    <t>Голова</t>
  </si>
  <si>
    <t>Barleywine</t>
  </si>
  <si>
    <t>11 / 24 / -</t>
  </si>
  <si>
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</si>
  <si>
    <t>A Night In The Lonesome October</t>
  </si>
  <si>
    <t>5,4 / 14 / -</t>
  </si>
  <si>
    <t>American Pale Ale w/ Cascade, Citra &amp; Centennial. Поздравляем бар Craft Republic с их 11 летием. Ура!</t>
  </si>
  <si>
    <t>Festival Destroyer</t>
  </si>
  <si>
    <t>Double Stout</t>
  </si>
  <si>
    <t xml:space="preserve">9 / 22 - </t>
  </si>
  <si>
    <t>Двойной овсяный стаут - сухой, без каких либо добавок, 9%.</t>
  </si>
  <si>
    <t>Midnight Beast</t>
  </si>
  <si>
    <t>American Wheat Ale</t>
  </si>
  <si>
    <t>Освежающий американ фит эль с большим количеством новозеландского хмеля Galaxy.</t>
  </si>
  <si>
    <t>Tripod</t>
  </si>
  <si>
    <t>English Pale Ale</t>
  </si>
  <si>
    <t>5,5 / 12 / -</t>
  </si>
  <si>
    <t>Легкий сухой эль красного цвета с обширным составом солодов и британским хмелем на варку и сухое охмеление.</t>
  </si>
  <si>
    <t>Khoffner Brewery г. Санкт-Петербург</t>
  </si>
  <si>
    <t>Khoffner</t>
  </si>
  <si>
    <t>Выдыхай</t>
  </si>
  <si>
    <t>Saison</t>
  </si>
  <si>
    <t>5,5 / 11,4 / 19</t>
  </si>
  <si>
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</si>
  <si>
    <t>Добро</t>
  </si>
  <si>
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</si>
  <si>
    <t>Неизбежность</t>
  </si>
  <si>
    <t>6 / 17 / -</t>
  </si>
  <si>
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</si>
  <si>
    <t>Твой хороший мальчик</t>
  </si>
  <si>
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</si>
  <si>
    <t>Borgata</t>
  </si>
  <si>
    <t>5,5 / 13,8 / 24</t>
  </si>
  <si>
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</si>
  <si>
    <t>Days Sober 00</t>
  </si>
  <si>
    <t>5,8 / 16,1 / 52</t>
  </si>
  <si>
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</si>
  <si>
    <t>Hungry Artist</t>
  </si>
  <si>
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</si>
  <si>
    <t>Lagerline</t>
  </si>
  <si>
    <t>Hopped Lager</t>
  </si>
  <si>
    <t>4,7 / 11,5 / 27</t>
  </si>
  <si>
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</si>
  <si>
    <t>La Lucha Libre</t>
  </si>
  <si>
    <t>Mexican Lager</t>
  </si>
  <si>
    <t>4,2 / 10,1 / 18</t>
  </si>
  <si>
    <t>Лëгкий мексиканский лагер в традиционном исполнении. Благородный хмелевой аромат и кристально чистое тело и мягкая текстура кукурузной крупы.</t>
  </si>
  <si>
    <t>бут 0.33 / 20</t>
  </si>
  <si>
    <t>La Lucha Libre Extra</t>
  </si>
  <si>
    <t>Мексиканский лагер с добавлением лайма и соли. Цитрусовый аромат, питкое тело и освежающий вкус. Тот самый Luchador в летнем облике.</t>
  </si>
  <si>
    <t>NEIPAТЬ КОЛОТИТЬ</t>
  </si>
  <si>
    <t xml:space="preserve">5,8 / 16 / - </t>
  </si>
  <si>
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</si>
  <si>
    <t>Tripel Monke</t>
  </si>
  <si>
    <t>Belgian Tripel</t>
  </si>
  <si>
    <t>9,5 / 22,5 / -</t>
  </si>
  <si>
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</si>
  <si>
    <t>Mantra г. Санкт-Петербург</t>
  </si>
  <si>
    <t>Mantra</t>
  </si>
  <si>
    <t>Сheesecake Point: Blueberry, Banana &amp; Almond</t>
  </si>
  <si>
    <t>Чизкейк с черникой, бананом, ванильным кремом и миндальным сиропом.</t>
  </si>
  <si>
    <t>Croissant Adept: Cherry, Raspberry &amp; Peanut Butter</t>
  </si>
  <si>
    <t>Саур эль с вишней, малиной и арахисовой пастой.</t>
  </si>
  <si>
    <t>Dessert Messiah: Cherry, Macaroon &amp; Almond Syrup</t>
  </si>
  <si>
    <t>13 / 30 / 20</t>
  </si>
  <si>
    <t>Двойной пастри стаут c вишней, макарунами, миндальным сиропом, выдержанный на дубовой щепе.</t>
  </si>
  <si>
    <t>Fracture: Apple &amp; Pomegranate</t>
  </si>
  <si>
    <t>Гозе с яблоком и гранатом. Освежающий и кислый дроп.</t>
  </si>
  <si>
    <t>Fracture: Lingonberry &amp; Jalapeno</t>
  </si>
  <si>
    <t>Гозе с томатами, брусникой, морской солью, маринованными халапеньо.</t>
  </si>
  <si>
    <t>Galaxy Edge: Blue Milk</t>
  </si>
  <si>
    <t>Голубой космический саур эль с бананом, ананасом, кокосом, голубой матчей и ванилью.</t>
  </si>
  <si>
    <t>Hellbringer</t>
  </si>
  <si>
    <t>15 / 32 / 20</t>
  </si>
  <si>
    <t>Русский имперский стаут с добавлением Индийского эспрессо, бобов тонка, арахисового масла, выдержанный на дубовой щепе вымоченной в бурбоне.</t>
  </si>
  <si>
    <t>Lemonade: Cherry</t>
  </si>
  <si>
    <t>Освежающий и кислый берлинер вайссе с вишней и кока-колой.</t>
  </si>
  <si>
    <t>Lemonade: Grape</t>
  </si>
  <si>
    <t>Виноградный берлинер вайссе c виноградом изабелла и лимоном.</t>
  </si>
  <si>
    <t>Shake Bus: Banana, Passion Fruit &amp; Calamansi</t>
  </si>
  <si>
    <t>Экстра-фруктовый саур эль с бананом, маракуйей и каламанси.</t>
  </si>
  <si>
    <t>Waffle Shuffle: Banana, Strawberry &amp; Chocolate Syrup</t>
  </si>
  <si>
    <t>Гонконгские вафли с клубникой, бананом, ванильными сливками и шоколадным сиропом.</t>
  </si>
  <si>
    <t>Waffle Shuffle: Mango, Grape &amp; Toffee</t>
  </si>
  <si>
    <t>Гонконгские вафли с манго, зеленым виноградом, ванильными сливками, тоффи и корицей.</t>
  </si>
  <si>
    <t>Yogurt: Apricot</t>
  </si>
  <si>
    <t>Двойной саур эль c абрикосовым печеньем, лактозой и ванилью. Минимум ингредиентов - максимум удовольствия. Яркий фонтан в твоем бокале.</t>
  </si>
  <si>
    <t>Magic Mess г. Санкт-Петербург</t>
  </si>
  <si>
    <t>Magic Mess</t>
  </si>
  <si>
    <t>Птичий короб</t>
  </si>
  <si>
    <t>4 / - / -</t>
  </si>
  <si>
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</si>
  <si>
    <t>On The Bones Brewery г. Санкт-Петербург</t>
  </si>
  <si>
    <t>On The Bones</t>
  </si>
  <si>
    <t>Главное — участие</t>
  </si>
  <si>
    <t>Festbier</t>
  </si>
  <si>
    <t>5,6 / 14 / 15</t>
  </si>
  <si>
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</si>
  <si>
    <t>Ласка нерпы</t>
  </si>
  <si>
    <t>5,5 / 14 / 23</t>
  </si>
  <si>
    <t>Шоколадный солод, низкая горечь и небольшая крепость, мягкость и карамельная сладость в завершении.</t>
  </si>
  <si>
    <t>Санный Спорт</t>
  </si>
  <si>
    <t>4,8 / 12 / 25</t>
  </si>
  <si>
    <t>Лагер, простой и понятный, как санная трасса.</t>
  </si>
  <si>
    <t>Токсовский Трамплин</t>
  </si>
  <si>
    <t>7 / 17 / 105</t>
  </si>
  <si>
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</si>
  <si>
    <t>Юнга (Rum Edition)</t>
  </si>
  <si>
    <t>10 / 25 / 16</t>
  </si>
  <si>
    <t xml:space="preserve">Обволакивающий, плотный, чуть жжёный вкус, в крепком и согревающем имперском стауте. </t>
  </si>
  <si>
    <t>Cheri Cheri Lady</t>
  </si>
  <si>
    <t>Strong Fruit Beer</t>
  </si>
  <si>
    <t>8,5 / 21 / 10</t>
  </si>
  <si>
    <t>Крепкий эль с соком вишни и ванилью. Коллаборация с AF Brew. Премьера Lobo Day 2025.</t>
  </si>
  <si>
    <t>Salt Mate</t>
  </si>
  <si>
    <t>4,5 / 12,3 / 7</t>
  </si>
  <si>
    <t>Базовый гозе с кориандром и цедрой апельсина.</t>
  </si>
  <si>
    <t>Strawberry'lips</t>
  </si>
  <si>
    <t>4,5 / 12,5 / 7</t>
  </si>
  <si>
    <t>Гозе с клубникой, базиликом и лемонграссом.</t>
  </si>
  <si>
    <t>Ostrovica г. Аша</t>
  </si>
  <si>
    <t>Ostrovica</t>
  </si>
  <si>
    <t>B-DAY Lager</t>
  </si>
  <si>
    <t>4,9 / 12,5 / 25</t>
  </si>
  <si>
    <t>Лагер, охмелённый SAAZ, Motueka и Centennial.</t>
  </si>
  <si>
    <t>Birthday Boy</t>
  </si>
  <si>
    <t>Релиз, посвященный 7-ми летию нашего тапрума в челябинске - Hoppy Mondays. Саур эль с черноплодной рябиной,  шиповником и мятой.</t>
  </si>
  <si>
    <t>Everyday Clown</t>
  </si>
  <si>
    <t>Imperial Gose</t>
  </si>
  <si>
    <t>6,9 / 17 / -</t>
  </si>
  <si>
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</si>
  <si>
    <t>Dry Stout</t>
  </si>
  <si>
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</si>
  <si>
    <t>FAKE PLANTS Blueberry, Raspberry &amp; Bergamot</t>
  </si>
  <si>
    <t>5,5 / 15 / -</t>
  </si>
  <si>
    <t>Саур эль с черникой, малиной и бергамотом.</t>
  </si>
  <si>
    <t>FAKE PLANTS Guanabana x Strawberry</t>
  </si>
  <si>
    <t>Саур эль с гуанабаной и клубникой.</t>
  </si>
  <si>
    <t>5/ 12,5 / -</t>
  </si>
  <si>
    <t>Классический Гозе. Один из древнейших сортов пива с ярко выроженным кисло-соленым вкусом.</t>
  </si>
  <si>
    <t>Традиционный баварский светлый лагер с лёгкой хмелевой горечью.</t>
  </si>
  <si>
    <t>Holy DIPA</t>
  </si>
  <si>
    <t>DIPA</t>
  </si>
  <si>
    <t>8,2 / 19 / 100</t>
  </si>
  <si>
    <t>Двойной индийский пэйл эль с ярким хмелевым ароматом и выраженной горечью. Охмеление: Simcoe, Citra, Cascade, Centennial.</t>
  </si>
  <si>
    <t>6,2 / 15 / 55</t>
  </si>
  <si>
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</si>
  <si>
    <t>Juicy IPA</t>
  </si>
  <si>
    <t>6,2 / 15 / -</t>
  </si>
  <si>
    <t>Яркий фруктово-тропический вкус обусловлен использованием особого вида дрожжей New England в комбинации с сухим охмелением Citra и Mosaic.</t>
  </si>
  <si>
    <t>5,5 / 13,5 / 30</t>
  </si>
  <si>
    <t>Тёмное пиво верхового брожения с мягким шелковистым вкусом,  оттенками кофе и горького шоколада. Хмель: Magnum, Fuggle.</t>
  </si>
  <si>
    <t>Pale Ale</t>
  </si>
  <si>
    <t>Классический APA, сваренный ближе к West Coast, а именоо с акцентом на хмелевые горечь и аромат при минимальной сладости.</t>
  </si>
  <si>
    <r>
      <rPr>
        <rFont val="Calibri"/>
        <b/>
        <color rgb="FF000000"/>
        <sz val="12.0"/>
        <u/>
      </rPr>
      <t>PILS</t>
    </r>
    <r>
      <rPr>
        <rFont val="Calibri"/>
        <b/>
        <color rgb="FF000000"/>
        <sz val="12.0"/>
        <u/>
      </rPr>
      <t xml:space="preserve"> 0.33</t>
    </r>
  </si>
  <si>
    <t>Pilsner</t>
  </si>
  <si>
    <t>4,5 / 12 / 18</t>
  </si>
  <si>
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</si>
  <si>
    <t>PILS</t>
  </si>
  <si>
    <t>Seven Seconds</t>
  </si>
  <si>
    <t>Hazy Pale Ale</t>
  </si>
  <si>
    <t>Hazy Pale Ale с грейпфрутом. Хмель: Citra. Релиз, посвященный 7-ми летию, давно
дружестсвенного нам, екатеринбургского бара Опыт.</t>
  </si>
  <si>
    <r>
      <rPr>
        <rFont val="Calibri"/>
        <b/>
        <color rgb="FF000000"/>
        <sz val="12.0"/>
        <u/>
      </rPr>
      <t>Weizen</t>
    </r>
    <r>
      <rPr>
        <rFont val="Calibri"/>
        <b/>
        <color rgb="FF000000"/>
        <sz val="12.0"/>
        <u/>
      </rPr>
      <t xml:space="preserve"> 0.33</t>
    </r>
  </si>
  <si>
    <t>Weizen</t>
  </si>
  <si>
    <t>Классический Weizen.</t>
  </si>
  <si>
    <t>Wish Wish</t>
  </si>
  <si>
    <t>Cherry Ale</t>
  </si>
  <si>
    <t>5,5 / 12 / 10</t>
  </si>
  <si>
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</si>
  <si>
    <t>Plague Brew г. Санкт-Петербург</t>
  </si>
  <si>
    <t>Plague Brew</t>
  </si>
  <si>
    <t>Lemon Forester</t>
  </si>
  <si>
    <t>Mushroom Gose</t>
  </si>
  <si>
    <t>4,5 / 10,5 / 6</t>
  </si>
  <si>
    <t>Кисло-солёный гозе с ярким ароматом грибов и специй. Данная версия приготовлена с добавлением лимонной цедры.</t>
  </si>
  <si>
    <t>Rebel Apple г. Москва</t>
  </si>
  <si>
    <t>Rebel Apple</t>
  </si>
  <si>
    <t>Carmilla Сherry Cider Полусладкий</t>
  </si>
  <si>
    <t xml:space="preserve">5 / - / - </t>
  </si>
  <si>
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</si>
  <si>
    <t>Dickiy Crest Полусухой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</si>
  <si>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</si>
  <si>
    <t>бут 0.45 / 20</t>
  </si>
  <si>
    <t>EDEN SIN. Глава III (2023). Полусладкий игристый</t>
  </si>
  <si>
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</si>
  <si>
    <t>36 мес.</t>
  </si>
  <si>
    <t>Pet Nat by Rebel Apple сухой 
игристый</t>
  </si>
  <si>
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</si>
  <si>
    <t>Red Button Brewery г. Москва</t>
  </si>
  <si>
    <t>Red Button</t>
  </si>
  <si>
    <t>Aurora Tropicalis</t>
  </si>
  <si>
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</si>
  <si>
    <t>Berry Sour Kitchen Black Currant, Mint</t>
  </si>
  <si>
    <t>12 / - / -</t>
  </si>
  <si>
    <t>Тройной Саур с добавлением сока черной смородины и мяты.</t>
  </si>
  <si>
    <t>Cilantro</t>
  </si>
  <si>
    <t>Mexican Style Gose с добавлением кинзы и лайма. Коллаборация с Екатеринбургский Taco Mago.</t>
  </si>
  <si>
    <t>Fondue Fountain</t>
  </si>
  <si>
    <t>Молочный стаут с добавлением трёх видов шоколада.</t>
  </si>
  <si>
    <t>King Helle Dry Hop Batch</t>
  </si>
  <si>
    <t>Dry Hop Helles.</t>
  </si>
  <si>
    <t>Kuts (Estragon Batch)</t>
  </si>
  <si>
    <t>Эстрагон версия классического гозе.</t>
  </si>
  <si>
    <t>Kuts Original</t>
  </si>
  <si>
    <t>Гозе добавлением соли и кориандра.</t>
  </si>
  <si>
    <t>Kuts Sea Salt Batch</t>
  </si>
  <si>
    <t>Extra Salty Classic Gose with Sea Salt.</t>
  </si>
  <si>
    <t>Kuts Sichuan Batch</t>
  </si>
  <si>
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</si>
  <si>
    <t>Matilde Frozen</t>
  </si>
  <si>
    <t>Frozen Imperial Stout</t>
  </si>
  <si>
    <t>20 / - / -</t>
  </si>
  <si>
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</si>
  <si>
    <t>Meet &amp; Greet (Black Tea X Raspberry)</t>
  </si>
  <si>
    <t>Hard Seltzer</t>
  </si>
  <si>
    <t>3,5 / - / -</t>
  </si>
  <si>
    <t>Hard Tea хард зельцер с добавлением черного чая, каркаде, и сублимированный малины.</t>
  </si>
  <si>
    <t>Melchior</t>
  </si>
  <si>
    <t>Frozen Graff</t>
  </si>
  <si>
    <t>18 / - / -</t>
  </si>
  <si>
    <t>Frozen Graff. Коллаборация с Ability.</t>
  </si>
  <si>
    <t>Micro Kuts (Little Gose)</t>
  </si>
  <si>
    <t>Классический Микро гозе.</t>
  </si>
  <si>
    <t>Pure Shores</t>
  </si>
  <si>
    <t>6,5 / - / 45</t>
  </si>
  <si>
    <t>Молочно-шоколадный стаут с добавлением печенья.</t>
  </si>
  <si>
    <t>Puzzle Berry Sour</t>
  </si>
  <si>
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</si>
  <si>
    <t>Tale of Us (#2025 Batch)</t>
  </si>
  <si>
    <t>West Coast IPA с добавлением юдзу.</t>
  </si>
  <si>
    <t>Tartigo</t>
  </si>
  <si>
    <t>Sour Ipa с сухим охмелением сортом Krush (HBC586).</t>
  </si>
  <si>
    <t>Tropical Trip</t>
  </si>
  <si>
    <t>Imperial Smoothie Sour</t>
  </si>
  <si>
    <t>Империал смузи саур с маракуйей и ванилью. Коллаборация с Underdog.</t>
  </si>
  <si>
    <t>Vari Corn &amp; Rice Beer</t>
  </si>
  <si>
    <t xml:space="preserve">Пиво с добавлением кукурузы и риса. Обладает мягким и легким вкусом с выраженной свежестью. </t>
  </si>
  <si>
    <t>Vari Oat Beer</t>
  </si>
  <si>
    <t>Oat Lager</t>
  </si>
  <si>
    <t>Лагер с добавлением несоложеных овсяных хлопьев.</t>
  </si>
  <si>
    <t>XTV-1 (Frozen)</t>
  </si>
  <si>
    <t xml:space="preserve"> Вымороженный стаут с добавлением кленового сиропа. Коллаборация с Ability.</t>
  </si>
  <si>
    <t>Red Rocket Brewery г. Екатеринбург</t>
  </si>
  <si>
    <t>Red Rocket</t>
  </si>
  <si>
    <t>Citrus Groove</t>
  </si>
  <si>
    <t>5 / 15 / -</t>
  </si>
  <si>
    <t>Фруктовый саур эль с апельсином, лимоном, мятой и розмарином. С ярким, освежающим вкусом и мощным ароматом.</t>
  </si>
  <si>
    <t>Ding-Dong</t>
  </si>
  <si>
    <t>Фруктовый саур эль с малиной и маракуйей. Сварен специально для фестиваля ДЗЫНЬ.</t>
  </si>
  <si>
    <t>8 / 17 / 40</t>
  </si>
  <si>
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</si>
  <si>
    <t>Domofon APA</t>
  </si>
  <si>
    <t>5,5 / 13 / 30</t>
  </si>
  <si>
    <t>Классический APA в стиле западного побережья. Охмелен монохмелем Citra. Коллаборация с ТГ-каналом Консьерж Лупполо.</t>
  </si>
  <si>
    <t>4,2 / - / -</t>
  </si>
  <si>
    <t>Сухой стаут в ирландском стиле. Готовится с использованием азота, для придания сливочной текстуры и мягкого вкуса.</t>
  </si>
  <si>
    <t>Классический английский ESB медного цвета с лёгкой цветочной ароматикой хмелей East Kent Goldings и Fuggles.</t>
  </si>
  <si>
    <t>HOPPY LAGER</t>
  </si>
  <si>
    <t>5 / 12 / 35</t>
  </si>
  <si>
    <t>Hoppy Lager, продолжения обновления базовой линейки, охмеленный Centennial.</t>
  </si>
  <si>
    <t>Kellerbier</t>
  </si>
  <si>
    <t>6 / 14 / -</t>
  </si>
  <si>
    <t>Kellerbier - нефильтрованный лагер в немецком стиле.</t>
  </si>
  <si>
    <t>KODAMA</t>
  </si>
  <si>
    <t>Rice Lager</t>
  </si>
  <si>
    <t>4,5 / 11 / -</t>
  </si>
  <si>
    <t>Рисовый лагер в японском стиле с добавлением цитруса юдзу. Сварен специально для фестиваля Lobotomy Day 2025.</t>
  </si>
  <si>
    <t>Kolsch</t>
  </si>
  <si>
    <t>4,8 / 11 / -</t>
  </si>
  <si>
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</si>
  <si>
    <t>Krasnie Mokasiny</t>
  </si>
  <si>
    <t>Фруктовый саур эль, сваренный к фестивалю LOBOTOMY DAY 2025. С добавлением малины, граната, мяты и саган-дайля.</t>
  </si>
  <si>
    <t>Perennial Quest</t>
  </si>
  <si>
    <t>Фруктовый саур эль с кофе, вишней и легкой пряностью чили перца. Содержит лактозу.</t>
  </si>
  <si>
    <t>Классический светлый лагер в чешском стиле.</t>
  </si>
  <si>
    <t>Transistor</t>
  </si>
  <si>
    <t>Hazy IPA</t>
  </si>
  <si>
    <t>6,5 / 14,5 / 45</t>
  </si>
  <si>
    <t>Лёгкий и приятный, при этом насыщенный Hazy IPA, охмелённый Citra, Superdelic и Motueka.</t>
  </si>
  <si>
    <t>We took a photo for this collab a year and a half ago</t>
  </si>
  <si>
    <t>Triple IPA</t>
  </si>
  <si>
    <t>10 / - / 40</t>
  </si>
  <si>
    <t>Тройной IPA, сваренный к фестивалю LOBOTOMY DAY 2025. Охмеленный Mosaic и El Dorado. Коллаборация с пивоварней Horror Brewing.</t>
  </si>
  <si>
    <t>Where Is My Wind?</t>
  </si>
  <si>
    <t>5,5 / 13 / 40</t>
  </si>
  <si>
    <t>Классический APA в стиле западного побережья. Охмелен Citra, Motueka, Mosaic.</t>
  </si>
  <si>
    <t>Selfmade Brewery г. Москва</t>
  </si>
  <si>
    <t>Selfmade</t>
  </si>
  <si>
    <t>Arcane Gleam</t>
  </si>
  <si>
    <t>6,5 / 17 / 42</t>
  </si>
  <si>
    <t>New England IPA. Охмеление - HBC 638, HBC 1134 и Krush Cryo.</t>
  </si>
  <si>
    <t>Bright Queen</t>
  </si>
  <si>
    <t>5,3 / 18 / 10</t>
  </si>
  <si>
    <t>Smoothie sour ale с добавлением пюре манго, гуавы и каламанси!</t>
  </si>
  <si>
    <t>Ceremony</t>
  </si>
  <si>
    <t>DDH Jasmine OAT IPA</t>
  </si>
  <si>
    <t>6,9 / 17 / 42</t>
  </si>
  <si>
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</si>
  <si>
    <t>Deathspeaker</t>
  </si>
  <si>
    <t>8,5 / 19 / 65</t>
  </si>
  <si>
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</si>
  <si>
    <t>Druids Elixir</t>
  </si>
  <si>
    <t>5 / 17 / 6</t>
  </si>
  <si>
    <t>Смузи Sour Ale. Киви, фейхоа, зеленое яблоко и мята.</t>
  </si>
  <si>
    <t>Ethereal Mist</t>
  </si>
  <si>
    <t>6 / 16 / 47</t>
  </si>
  <si>
    <t>New England IPA. Охмеление - Mosaic, Mosaic Cryo и Galaxy.</t>
  </si>
  <si>
    <t>Evolve! Morph 7</t>
  </si>
  <si>
    <t>6,3 / 17 / 47</t>
  </si>
  <si>
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</si>
  <si>
    <t>Fire Hazard</t>
  </si>
  <si>
    <t>6,2 / - / 10</t>
  </si>
  <si>
    <t>Hot Tomato Gose. Tomatoes, Home Grown Hot Peppers.</t>
  </si>
  <si>
    <t>Fruitality</t>
  </si>
  <si>
    <t>Fruited Milk IPA</t>
  </si>
  <si>
    <t>6,8 / 18 / 64</t>
  </si>
  <si>
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</si>
  <si>
    <t>Harvest Lord</t>
  </si>
  <si>
    <t>Pumpkin Porter</t>
  </si>
  <si>
    <t>6,5 / 20 / 32</t>
  </si>
  <si>
    <t>Тыквенный портер с корицей, кардамоном и кофе.</t>
  </si>
  <si>
    <t>Invaders Strike Back</t>
  </si>
  <si>
    <t>5 / 17 / 8</t>
  </si>
  <si>
    <t>Smoothie Sour Ale. Guava, Blueberry &amp; Passionfruit.</t>
  </si>
  <si>
    <t>Juicy Rebels</t>
  </si>
  <si>
    <t>5 / 19 / 8</t>
  </si>
  <si>
    <t>Smoothie Sour Ale. Mango, Cactus, Coconut &amp; Lemon.</t>
  </si>
  <si>
    <t>Mako APA</t>
  </si>
  <si>
    <t>5,3 / 13 / 40</t>
  </si>
  <si>
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</si>
  <si>
    <t>Megafauna</t>
  </si>
  <si>
    <t>10 / - / 100</t>
  </si>
  <si>
    <t>Triple IPA. Охмеление - Simcoe Cryo, Simcoe, Centennial, Hopburst Geronimo.</t>
  </si>
  <si>
    <t>Meltdown: Sunset</t>
  </si>
  <si>
    <t>5 / 20 / 6</t>
  </si>
  <si>
    <t>SMOOTHIE SOUR ALE с добавлением манго, персика, ванили и банана! Melt the ice!</t>
  </si>
  <si>
    <t>Pepper Keeper</t>
  </si>
  <si>
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</si>
  <si>
    <t>Railgun</t>
  </si>
  <si>
    <t>6,2 / - / 65</t>
  </si>
  <si>
    <t>American IPA. Охмеление - Idaho 7, Idaho 7 Cryo, Sabro, Citra.</t>
  </si>
  <si>
    <t>Rocket Jump</t>
  </si>
  <si>
    <t>6,3 / 15 / 49</t>
  </si>
  <si>
    <t>American IPA с добавлением цедры лайма и лимона, охмеленный Citra, Lemon Drop, Warrior, Cascade.</t>
  </si>
  <si>
    <t>Shroomdalf</t>
  </si>
  <si>
    <t>5,2 / 15 / 8</t>
  </si>
  <si>
    <t>Впитав в себя знания совета Мудрых и вкусив дары Лихолесья, мы пробудили новый сорт в стиле MUSHROOM GOSE с добавлением шампиньонов и шиитаке.</t>
  </si>
  <si>
    <t>Shroomie</t>
  </si>
  <si>
    <t>4 / 14 / 14</t>
  </si>
  <si>
    <t>Грибной гозе. Много шиитаке и шампиньонов, чеснок.</t>
  </si>
  <si>
    <t>Space Moth</t>
  </si>
  <si>
    <t>10 / 27 / 10</t>
  </si>
  <si>
    <t>Ананас, маракуйя и чёрная смородина наносит тройной удар свежести, который не пощадит никого в галактике!</t>
  </si>
  <si>
    <t>Tomato Method</t>
  </si>
  <si>
    <t>5,6 / 17 / 12</t>
  </si>
  <si>
    <t>Tomato Method в стиле томатного гозе выполнен с добавлением большого количества томатной пасты и специй.</t>
  </si>
  <si>
    <t>Tomato Method - Kimchi</t>
  </si>
  <si>
    <t>5,9 / - / 10</t>
  </si>
  <si>
    <t>Hot Tomato Gose. Tomatoes, Kimchi.</t>
  </si>
  <si>
    <t>Tropical Slasher</t>
  </si>
  <si>
    <t>6,9 / 21 / 20</t>
  </si>
  <si>
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</si>
  <si>
    <t>Void Garden</t>
  </si>
  <si>
    <t>5,2 / - / 10</t>
  </si>
  <si>
    <t>Смузи саур эль. Черника, черная смородина.</t>
  </si>
  <si>
    <t>Warlock Ritual</t>
  </si>
  <si>
    <t>Pastry Sour Ale</t>
  </si>
  <si>
    <t>5,6 / 18 / 15</t>
  </si>
  <si>
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</si>
  <si>
    <t>Snowcap Brewing г. Петрозаводск</t>
  </si>
  <si>
    <t>Snowcap Brewing</t>
  </si>
  <si>
    <t>Kannistarha</t>
  </si>
  <si>
    <t>6 / 17 / 10</t>
  </si>
  <si>
    <t xml:space="preserve">Kännistarha - фруктовый гозе с добавлением клубники, арбуза, апельсина и томатов. Коллаб с пивоварней Zagovor. </t>
  </si>
  <si>
    <t>Mecca</t>
  </si>
  <si>
    <t>Red Ale</t>
  </si>
  <si>
    <t>5,5 / 13 / 26</t>
  </si>
  <si>
    <t>Meččä - Red Ale, сваренный для наших карельских друзей из ресторана нордической кухни Hunter.</t>
  </si>
  <si>
    <t>Muapolku</t>
  </si>
  <si>
    <t>New Zealand Pilsner</t>
  </si>
  <si>
    <t>5,5 / 11,5 / 38</t>
  </si>
  <si>
    <t>Muapolku(Тропа Моа) - новозеландский пилснер, охмеленный Southern Cross и Motueka Amplifire.</t>
  </si>
  <si>
    <t>Mustat Kivet</t>
  </si>
  <si>
    <t>7 / 17 / 65</t>
  </si>
  <si>
    <t xml:space="preserve">Mustat kivet - American IPA, охмелённый Citra, Eclipse, Simcoe и Talus. Сварен в коллабе с рестораном карельской кухни Saari. </t>
  </si>
  <si>
    <t>Petroskoi</t>
  </si>
  <si>
    <t>Munich Helles</t>
  </si>
  <si>
    <t>5,2 / 12,5 / 20</t>
  </si>
  <si>
    <t xml:space="preserve">Petroskoi - классический лагер в немецком стиле. </t>
  </si>
  <si>
    <t>Stamm Brewing г. Москва</t>
  </si>
  <si>
    <t>Stamm Brewing</t>
  </si>
  <si>
    <t>4 In 1 Super Sour</t>
  </si>
  <si>
    <t>7 / 20 / -</t>
  </si>
  <si>
    <t>Имперский саур эль с маракуйей, красным апельсином, абрикосом и ананасом.</t>
  </si>
  <si>
    <t>Alpha Hops: Citra</t>
  </si>
  <si>
    <t>6,5 / 15,5 / -</t>
  </si>
  <si>
    <t>Citra Single Hop IPA.</t>
  </si>
  <si>
    <t>Alphorn</t>
  </si>
  <si>
    <t>4,8 / - / -</t>
  </si>
  <si>
    <t>Лёгкий летний Хеллес.</t>
  </si>
  <si>
    <t>American Pale Ale</t>
  </si>
  <si>
    <t>4,7 / 13 / 25</t>
  </si>
  <si>
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</si>
  <si>
    <t>Cherrytonin</t>
  </si>
  <si>
    <t>Лёгкий вишнёвый сауэр эль с добавлением ароматного эстрагона.</t>
  </si>
  <si>
    <t>Emerald Head</t>
  </si>
  <si>
    <t>8 / 18 / -</t>
  </si>
  <si>
    <t>New England DIPA охмелённый Citra, Simcoe, Cascade.</t>
  </si>
  <si>
    <t>Goko</t>
  </si>
  <si>
    <t>Hoppy Rice Lager</t>
  </si>
  <si>
    <t>Рисовый лагер, охмелённый Motueka и Nectaron, созданный совместно с нашими друзьями из Владивостока - Kultura Project.</t>
  </si>
  <si>
    <t>Hop Gun</t>
  </si>
  <si>
    <t>7 / 17 / 70</t>
  </si>
  <si>
    <t>Классический American IPA, охмелённый Citra и Mosaic.</t>
  </si>
  <si>
    <t>Hop Gun Battle Royale</t>
  </si>
  <si>
    <t>7 / 17 / -</t>
  </si>
  <si>
    <t>West Coast IPA, охмелённый Citra/Mosaic/Chinook/Centennial.</t>
  </si>
  <si>
    <t>Kells</t>
  </si>
  <si>
    <t xml:space="preserve">5,5 / - / - </t>
  </si>
  <si>
    <t>Red Ale.</t>
  </si>
  <si>
    <t>Limit Break</t>
  </si>
  <si>
    <t>Triple NE IPA</t>
  </si>
  <si>
    <t>9,5 / 22 / -</t>
  </si>
  <si>
    <t>NE Triple IPA, охмелённый Citra, Mosaic и Simcoe.</t>
  </si>
  <si>
    <t>Lone Sword</t>
  </si>
  <si>
    <t>American IPA, охмелённый Simcoe, Talus, Ekuanot.</t>
  </si>
  <si>
    <t>Nekoyama</t>
  </si>
  <si>
    <t>6 / 13,5 / -</t>
  </si>
  <si>
    <t>Рисовый лагер охмелённый Strata и Superdelic.</t>
  </si>
  <si>
    <t>Skybloom</t>
  </si>
  <si>
    <t>8 / - / -</t>
  </si>
  <si>
    <t>Hazy DIPA охмелённый Riwaka, Motueka, Motueka CRYO, Citra, Citra CRYO.</t>
  </si>
  <si>
    <t>Off the Pond</t>
  </si>
  <si>
    <t>New England IPA охмелённый HBC 638, Talus, Citra.</t>
  </si>
  <si>
    <t>Rauchzart</t>
  </si>
  <si>
    <t>Rauchbier</t>
  </si>
  <si>
    <t>5,3 / 13 / -</t>
  </si>
  <si>
    <t>Наше прочтение раухбира, копчёного лагера.</t>
  </si>
  <si>
    <t>Solunate</t>
  </si>
  <si>
    <t xml:space="preserve">6,5 / - / - </t>
  </si>
  <si>
    <t>Hazy IPA охмелённый Galaxy, Mosaic CRYO, Mosaic, Simcoe.</t>
  </si>
  <si>
    <t>Sommer</t>
  </si>
  <si>
    <t>5,5 / 14,5 / -</t>
  </si>
  <si>
    <t>Session IPA охмелённый Citra, X-14, Cashmere.</t>
  </si>
  <si>
    <t>Sour Passion Party</t>
  </si>
  <si>
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</si>
  <si>
    <t>Straßenbahn</t>
  </si>
  <si>
    <t xml:space="preserve">4,5 / 12 / - </t>
  </si>
  <si>
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</si>
  <si>
    <t>Straßenbahn Dunkelweizen</t>
  </si>
  <si>
    <t>Dunkelweizen</t>
  </si>
  <si>
    <t>Тёмная версия всем знакомого пшеничного StraBenbahn.</t>
  </si>
  <si>
    <t>Waka</t>
  </si>
  <si>
    <t>NZ Pilsner</t>
  </si>
  <si>
    <t>New Zealand Pilsner охмелённый Motueka, Nelson Sauvin, Superdelic.</t>
  </si>
  <si>
    <t>Your Freak Lordship</t>
  </si>
  <si>
    <t>4,7 / 12 / -</t>
  </si>
  <si>
    <t>Тиолизированная и охмеленная версия флагманского лагера.</t>
  </si>
  <si>
    <t>Your Young Lordship</t>
  </si>
  <si>
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</si>
  <si>
    <t>Steppe &amp; Wind Meadery г. Оренбург</t>
  </si>
  <si>
    <t>Steppe &amp; Wind</t>
  </si>
  <si>
    <t>Безопасный Грейпфрут</t>
  </si>
  <si>
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</si>
  <si>
    <t>Мёд и сочный абрикос: сладко, с освежающим послевкусием.</t>
  </si>
  <si>
    <t>Black Currant Mead</t>
  </si>
  <si>
    <t>Луговой мёд с соком чёрной смородины, более сладкий, чем ежевика или вишня.</t>
  </si>
  <si>
    <t>Blackberry Mead</t>
  </si>
  <si>
    <t>Луговой мёд с ежевичным соком. Яркий терпкий вкус ежевики, кисло-сладкий сорт с сухим финишем.</t>
  </si>
  <si>
    <t>Blueberry And Hops Mead</t>
  </si>
  <si>
    <t>Насыщенный черничный мид с горечью хмеля.</t>
  </si>
  <si>
    <t>Blueberry and Vanilla Mead</t>
  </si>
  <si>
    <t>Мёд, черничной сок и ваниль. В меру сладко и терпко, с приятным ароматом ванили.</t>
  </si>
  <si>
    <t>Calamansi Bochet</t>
  </si>
  <si>
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</si>
  <si>
    <t>Cherry Mead</t>
  </si>
  <si>
    <t>Луговой мёд с вишнёвым соком. Болеекислый сорт, чем ежевика. Во вкусе ароматная насыщенная вишня.</t>
  </si>
  <si>
    <t>Cherry Nuts Mead</t>
  </si>
  <si>
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</si>
  <si>
    <t>Dogwood Lemongrass Mead</t>
  </si>
  <si>
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</si>
  <si>
    <t>Draft Mead</t>
  </si>
  <si>
    <t>6 / - / 10</t>
  </si>
  <si>
    <t>Мид со вкусом мёда. Мёд разнотравье на купаже и горстка хмеля на варке.</t>
  </si>
  <si>
    <t>Grapefruit Mead</t>
  </si>
  <si>
    <t>Никаких винных эфиров, сложных вкусов и дубовых танинов. Липовый мёд и горы грейпфрута.</t>
  </si>
  <si>
    <t>Juniper &amp; Basil Tonic Mead</t>
  </si>
  <si>
    <t>Освежающий микс коры хинного дерева, ягод можжевельника, листьев базилика и мёда. В меру горько и свежо.</t>
  </si>
  <si>
    <t xml:space="preserve">Lingonberry Rhubarb and Hops Mead </t>
  </si>
  <si>
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</si>
  <si>
    <t>Melon and Lemongrass Mead</t>
  </si>
  <si>
    <t>Идеальная комбинация свежести и сладости. Дыня даёт нежное тело и освежающий летний вкус, а лемонграсс вносит свою цитрусовую ноту.</t>
  </si>
  <si>
    <t>Orange And Vanilla Mead</t>
  </si>
  <si>
    <t>Вкус яркий, цитрусовый, с его хрустящей кислинкой и мягкой, пряной и тёплой ванилью, уходящей в карамель.</t>
  </si>
  <si>
    <t>Peach Orange Punch Mead</t>
  </si>
  <si>
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</si>
  <si>
    <t>Pear, Lime &amp; Rosemary Mead</t>
  </si>
  <si>
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</si>
  <si>
    <t>Pineapple Lime Mead</t>
  </si>
  <si>
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</si>
  <si>
    <t>Pyment Mead</t>
  </si>
  <si>
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</si>
  <si>
    <t>Raspberry &amp; Blueberry Bochet</t>
  </si>
  <si>
    <t>Малопопулярный стиль Bochet, который отсутствует в портфеле большинства Мидерий. В составе сброженный карамелизированный мёд с малиной и черникой</t>
  </si>
  <si>
    <t>Raspberry, Mint And Hops Mead</t>
  </si>
  <si>
    <t>Малиновый сок, сухое охмеление, выдержка на дубовой щепе с мятой.</t>
  </si>
  <si>
    <t>Smoothie Imperial Mead: Blackberry Feijoa Lemongrass</t>
  </si>
  <si>
    <t>Империал смузи мид: ежевика, фейхоа, лемонграсс.</t>
  </si>
  <si>
    <t>Smoothie Mead: Blueberry, Banana, Vanilla</t>
  </si>
  <si>
    <t>Смузи мёд с бананом, черникой и ванилью. Напоминает известный десерт - черничный чизкейк.</t>
  </si>
  <si>
    <t>Smoothie Mead: Grapefruit, Strawberry, Mint</t>
  </si>
  <si>
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</si>
  <si>
    <t>Smoothie Mead: Mango, Orange</t>
  </si>
  <si>
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</si>
  <si>
    <t>Smoothie Mead: Strawberry, Banana, Cranberry</t>
  </si>
  <si>
    <t>Насыщенный мид из топового сочетания сладкого банана и сочной клубники. Интересную ноту придаёт терпкая кислая клюква.</t>
  </si>
  <si>
    <t>Strawberry Lavender &amp; Hops Mead</t>
  </si>
  <si>
    <t>Кислотность клубники балансирует сладость мёда, лаванда добавляет цветочных нот в аромат, а хмель добавляет нужную терпкость и сухой финиш.</t>
  </si>
  <si>
    <t>Traditional Mead</t>
  </si>
  <si>
    <t>Базовый мид из цветочного мёда сброженный с дубовой щепой. Медовуха, как она есть.</t>
  </si>
  <si>
    <t>Switch Brewing г. Санкт-Петербург</t>
  </si>
  <si>
    <t>Switch Brewing</t>
  </si>
  <si>
    <t>Academic Pizzicato</t>
  </si>
  <si>
    <t>Американский лагер приуроченный к 10му, юбилейному, фестивалю Sib Craft Fest, сваренный совместно с Gusi Brewery. Dry Hop - Citra.</t>
  </si>
  <si>
    <t>The End of The Land</t>
  </si>
  <si>
    <t>5 / - / 40</t>
  </si>
  <si>
    <t>Лёгкий, весенний, сессионный АйПиЭй сваренный совместно с баром, находящимся на краю земли - «Культура Пивная» г. Владивосток. Hops - Citra, Mosaic Cryo.</t>
  </si>
  <si>
    <t>Time Bomb Brewery г. Санкт-Петербург</t>
  </si>
  <si>
    <t>Time Bomb</t>
  </si>
  <si>
    <t>КРАФТПИТ</t>
  </si>
  <si>
    <t>4/ 10 / -</t>
  </si>
  <si>
    <t>Совместный сорт с Switch Brewing. Светлый, хрустящий лагер в стиле чешской деситки. С начальной плотностью 10% и традиционно охмеленный Saaz.</t>
  </si>
  <si>
    <t>ПАРСЕК</t>
  </si>
  <si>
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</si>
  <si>
    <t>Headshrinker</t>
  </si>
  <si>
    <t>5,3 / - / 30</t>
  </si>
  <si>
    <t>Английская классика в стиле Extra Special Bitter с охмелением East Kent Golding.</t>
  </si>
  <si>
    <t>Toksovo Sidrerie г. Санкт-Петербург</t>
  </si>
  <si>
    <t>Toksovo Cidrerie</t>
  </si>
  <si>
    <t>Любовь и Ревень</t>
  </si>
  <si>
    <t>Фруктовый сидр новой волны из яблок Северо-Западного региона с добавлением местного ревеня.</t>
  </si>
  <si>
    <t>не ограничен</t>
  </si>
  <si>
    <t>ТИШИНА. Bag-in-Box. Vintage 2021</t>
  </si>
  <si>
    <t>5,4 / - / -</t>
  </si>
  <si>
    <t>Сидр из яблок Северо-западного региона в самой естественной — тихой версии. Максимальная формате! Сухость, танины и яркая кислотность.</t>
  </si>
  <si>
    <t>Bag in Box 3л</t>
  </si>
  <si>
    <t>Heart of Forest</t>
  </si>
  <si>
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</si>
  <si>
    <t>Heart of Gose</t>
  </si>
  <si>
    <t>Сидр с уклоном в стилистику “гозе” с латиноамериканскими элементами - перцем халапеньо и лаймом.</t>
  </si>
  <si>
    <t>Heart of Smoke</t>
  </si>
  <si>
    <t>Копчёный сухой сидр с ароматом дыма и сухофруктов и вкусом печеных яблок, сбалансированным привычной для Токсовской сидрерии кислотностью.</t>
  </si>
  <si>
    <t>Pet Nat 2022: Batch 22</t>
  </si>
  <si>
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</si>
  <si>
    <t xml:space="preserve">Try Wild г. Ижевск </t>
  </si>
  <si>
    <t>Try Wild</t>
  </si>
  <si>
    <t>Wild Cider 2019</t>
  </si>
  <si>
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</si>
  <si>
    <t>5 лет</t>
  </si>
  <si>
    <t>Zagovor г. Москва</t>
  </si>
  <si>
    <t>Zagovor</t>
  </si>
  <si>
    <t>Цитра</t>
  </si>
  <si>
    <t>6 / - / 55</t>
  </si>
  <si>
    <t>West Coast style Citra Single Hop IPA.</t>
  </si>
  <si>
    <t>Blast Beat: DDH+Lupulin Powder</t>
  </si>
  <si>
    <t>8 / - / 30</t>
  </si>
  <si>
    <t>Новая, улучшенная версия нашего первого NE DIPA. На этот раз с Simcoe Cryo + Citra + Mosaic + Idaho 7 + Cascade.</t>
  </si>
  <si>
    <t>Equilibrium: Ekuanot+Mosaic</t>
  </si>
  <si>
    <t>6,5 / - / 50</t>
  </si>
  <si>
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</si>
  <si>
    <t>Hot Wax</t>
  </si>
  <si>
    <t>8 / 19 / 40</t>
  </si>
  <si>
    <t>DDH New England Double IPA. Охмеление - Citra и Galaxy.</t>
  </si>
  <si>
    <t>Lager Lads Club</t>
  </si>
  <si>
    <t>5,3 / 12 / 25</t>
  </si>
  <si>
    <t>коллаборация с баром METHOD Beer &amp; Munchies. Охмеление - Saaz.</t>
  </si>
  <si>
    <t>Mezzonint</t>
  </si>
  <si>
    <t>8 / - / 40</t>
  </si>
  <si>
    <t>Double Dry Hopped NE DIPA with Riwaka, Nectaron, Citra Lupomax &amp; Cascade CGX. Collaboration brew for B-Day of SPIN BAR Minsk.</t>
  </si>
  <si>
    <t>Multi Pass Mead</t>
  </si>
  <si>
    <t>Pina Colada style Session Mead = Pineapple, Coconut, Orange &amp; Lime. Collaboration with Stepp &amp; Wind Meadery.</t>
  </si>
  <si>
    <t>Planespotting Spot</t>
  </si>
  <si>
    <t>WC Pale Ale</t>
  </si>
  <si>
    <t>5,5 / - / 55</t>
  </si>
  <si>
    <t>Cascade Single Hop West Coast Pale Ale. Наслаждайтесь самолётами в небе!</t>
  </si>
  <si>
    <t>Recovery Pils</t>
  </si>
  <si>
    <t>Хрустящий и освежающий пилзнер в новозеландском стиле с благородным хмелем Motueka (происхождение из Новой Зеландии).</t>
  </si>
  <si>
    <t>Replica: Talus</t>
  </si>
  <si>
    <t>6,5 / - / 30</t>
  </si>
  <si>
    <t>DDH Single Hop New England IPA с добавлением хмеля Talus (HBC 692). Тона грейпфрута, цитрусовой цедры и лёгкие ноты кокоса</t>
  </si>
  <si>
    <t>SLOW &amp; TRVE: DDH+Lupulin Powder</t>
  </si>
  <si>
    <t>NE APA</t>
  </si>
  <si>
    <t>4,8 / - / 35</t>
  </si>
  <si>
    <t>We made it real with extensive double dry hopping rehearsal &amp; daydreams about lupulin powder. Simcoe &amp; Mosaic were involved!</t>
  </si>
  <si>
    <t>Spirals</t>
  </si>
  <si>
    <t>5,2 / - / 30</t>
  </si>
  <si>
    <t>Juicy &amp; Hazy Pale Ale, true tropical delight with Vista &amp; El Dorado CGX hops.</t>
  </si>
  <si>
    <t>Stoner</t>
  </si>
  <si>
    <t>Milk Stout</t>
  </si>
  <si>
    <t>5,5 / - / 23</t>
  </si>
  <si>
    <t>Настоящий молочный стаут ​​с лактозой и овсом для невероятно мягкого и насыщенного вкуса. Умеренная горечь и сладкие ноты.</t>
  </si>
  <si>
    <t>Street Justice Citra</t>
  </si>
  <si>
    <t>8 / - / 85</t>
  </si>
  <si>
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</si>
  <si>
    <t>Street Justice Idaho7</t>
  </si>
  <si>
    <t>West Coast Double IPA</t>
  </si>
  <si>
    <t>8,5 / 19 / 75</t>
  </si>
  <si>
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</si>
  <si>
    <t>Street Justice Mosaic</t>
  </si>
  <si>
    <t>Mosaic Single Hop West Coast Double IPA!</t>
  </si>
  <si>
    <t>Trafaret</t>
  </si>
  <si>
    <t>7 / - / 10</t>
  </si>
  <si>
    <t xml:space="preserve">Raspberry Imperial Gose. </t>
  </si>
  <si>
    <t>Volan</t>
  </si>
  <si>
    <t>6,7 / 15 /55</t>
  </si>
  <si>
    <t>West Coast IPA с хмелями Idaho7 Lupomax и Strata. Коллаборация с группой Vólan.</t>
  </si>
  <si>
    <t>Итого</t>
  </si>
  <si>
    <r>
      <rPr>
        <rFont val="Calibri"/>
        <sz val="12.0"/>
      </rPr>
      <t xml:space="preserve">Прайс обновлён 28.10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</si>
  <si>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По вопросам сотрудничества :
+79111719232 Илья
+79921603173 Кирилл
+79009040900 Руслан
+79627197918 Денис
+79650461234 Роман
sales@mrvg.ru</t>
  </si>
  <si>
    <t>Литраж</t>
  </si>
  <si>
    <t>Цена за литр</t>
  </si>
  <si>
    <t>Алтайские Традиции / Weissbier</t>
  </si>
  <si>
    <t>4,7 / - / -</t>
  </si>
  <si>
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</si>
  <si>
    <t>Белое</t>
  </si>
  <si>
    <t>Wheat Beer</t>
  </si>
  <si>
    <t>4,7 / 13 / -</t>
  </si>
  <si>
    <t>Классическое хорошо сброженное пиво низового брожения с тонким солодовым ароматом, средним телом и аккуратной хмелевой горечью.</t>
  </si>
  <si>
    <t>Спецварка</t>
  </si>
  <si>
    <t>4 / 10 / 9</t>
  </si>
  <si>
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</si>
  <si>
    <t>Starovar Non Alco</t>
  </si>
  <si>
    <t>No Alco Lager</t>
  </si>
  <si>
    <t>- / - / 15</t>
  </si>
  <si>
    <t>Отличный спутник для тех, кто ценит вкус без последствий - идеальный баланс солодового тела, хмелевой горчинки и освежающей легкости.</t>
  </si>
  <si>
    <t>Авиатор</t>
  </si>
  <si>
    <t xml:space="preserve">5 / 12,5 / - </t>
  </si>
  <si>
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</si>
  <si>
    <t>Пилснер</t>
  </si>
  <si>
    <t>4,5 / 12 / 25</t>
  </si>
  <si>
    <t>Светло янтарное пиво в чешском стиле. Вкус солодовый, с заметным хмелевым ароматом и горчинкой в послевкусии.</t>
  </si>
  <si>
    <t>Селестиал: HBC-638+Chinook+Azacca</t>
  </si>
  <si>
    <t>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 HBC-638, Chinook и Azacca.</t>
  </si>
  <si>
    <t>Селестиал: Strata+Citra+Mosaic</t>
  </si>
  <si>
    <t>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Mosaic.</t>
  </si>
  <si>
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</si>
  <si>
    <t>Хеллес</t>
  </si>
  <si>
    <t>4,5 / 11,5 / 19</t>
  </si>
  <si>
    <t>Классический светлый лагер в немецком стиле, сваренный на баварских хмелях. Освежающий и легкий. Идеальное пиво на каждый день.</t>
  </si>
  <si>
    <t>Choco Mammuth</t>
  </si>
  <si>
    <t>Imperial Stout</t>
  </si>
  <si>
    <t>10 / 25 / 14</t>
  </si>
  <si>
    <t>Запредельно мощный, молочно-шоколадный стаут. Сварен с какао бобами.</t>
  </si>
  <si>
    <t>Mr. O'Vsyanka / Мистер О`всянка</t>
  </si>
  <si>
    <t>Полнотелый, сладковатый, с бархатным вкусом стаут. Очень питкий, несмотря на довольно высокую плотность. Сварен с добавлением овса.</t>
  </si>
  <si>
    <t>Сидр Сухой Старый Изборск</t>
  </si>
  <si>
    <t>Сидр Полусухой Псковский Терруар</t>
  </si>
  <si>
    <t>Сидр Полусладкий 862</t>
  </si>
  <si>
    <t>Сидр Полусухой Hop Me</t>
  </si>
  <si>
    <t>8 / 21 / 30</t>
  </si>
  <si>
    <t>Классический крепкий портер. Плотный, многослойный солодовый вкус и насыщенный темный цвет не оставят вас равнодушными к этому напитку.</t>
  </si>
  <si>
    <t xml:space="preserve">ABC Weizen </t>
  </si>
  <si>
    <t>Duck Moment</t>
  </si>
  <si>
    <t>DDH New Zealand IPA</t>
  </si>
  <si>
    <t>7 / 17 / 40</t>
  </si>
  <si>
    <t>Хейзи АйПиЭй с увесистой долей овсяных и пшеничных хлопьев, охмелённый свежими гранулами новозелендского тандема Nectaron/Nelson Sauvin CRYO.</t>
  </si>
  <si>
    <t>Heartless Shadow</t>
  </si>
  <si>
    <t>Cold APA</t>
  </si>
  <si>
    <t>5,5 / 13,5 / 50</t>
  </si>
  <si>
    <t>Cухой и яркий Колд Пейл Эль на максимально светлой солодовой базе сброженный лагерными дрожжами и охмеленный дуэтом El Dorado/Krush.</t>
  </si>
  <si>
    <t>IMAGINARIUM</t>
  </si>
  <si>
    <t>7 / 16 / 60</t>
  </si>
  <si>
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</si>
  <si>
    <t>REARVIEW</t>
  </si>
  <si>
    <t>8,5 / 20 / 40</t>
  </si>
  <si>
    <t>Двойной Хейзи АйПиЭй с массивной овсяной базой, охмелённый гранулами Galaxy/Krush/Citra CRYO.</t>
  </si>
  <si>
    <t>Village Blanche</t>
  </si>
  <si>
    <t>Blanche</t>
  </si>
  <si>
    <t>5 / 12 / 15</t>
  </si>
  <si>
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</si>
  <si>
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</si>
  <si>
    <t>Yellow Cream</t>
  </si>
  <si>
    <t>Oat Cream NE DIPA</t>
  </si>
  <si>
    <t>8,5 / 22 / 40</t>
  </si>
  <si>
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</si>
  <si>
    <t>Bonnie Ship г. Москва</t>
  </si>
  <si>
    <t>Bonnie Ship</t>
  </si>
  <si>
    <t>QUEEN GRACE</t>
  </si>
  <si>
    <t>5 / 13 / 26</t>
  </si>
  <si>
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</si>
  <si>
    <t>RADETZKY MARCH</t>
  </si>
  <si>
    <t>Vienna Lager</t>
  </si>
  <si>
    <t>4,5 / 11,5 / 20</t>
  </si>
  <si>
    <t>RADETZKY MARCH Vienna Lager - посвящение легендарному маршу Штрауса, покорившему мир.Именно под звуки Марша Радецкого рождался наш новый релиз: янтарный венский лагер с мягким солодовым профилем, ярким характером континентального хмеля Kazbek для тех, кто ценит изысканность и историю.</t>
  </si>
  <si>
    <t>ST ANDREWS</t>
  </si>
  <si>
    <t>Scottish Light Ale</t>
  </si>
  <si>
    <t>4 / 11 / 26</t>
  </si>
  <si>
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</si>
  <si>
    <t>THE DIAMOND</t>
  </si>
  <si>
    <t>Sea Shanty IPA</t>
  </si>
  <si>
    <t>5 / 12,5 / 42</t>
  </si>
  <si>
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</si>
  <si>
    <t>Синьор Помидор И Друг Его Тимьян</t>
  </si>
  <si>
    <t>Caress and Scratch</t>
  </si>
  <si>
    <t>New Zealand IPA w/ Riwaka, Nelson Sauvin &amp; Nelson Sauvin Amplifire Oil Коллаборация с баром Есенин из Ростова-на-Дону, специально к их 10-летию!</t>
  </si>
  <si>
    <t>Epidemic</t>
  </si>
  <si>
    <t>6 / 15,5 / -</t>
  </si>
  <si>
    <t>Классический American Porter.</t>
  </si>
  <si>
    <t>I Was Getting Drunk In A Flower Shop 10 Years Ago</t>
  </si>
  <si>
    <t>Session IPA w/ Cascade, Southern Cross &amp; Green Bullet Море новозеландского хмеля к 10-летию московского бара Сосна и Липа.</t>
  </si>
  <si>
    <t>Midday Beast</t>
  </si>
  <si>
    <t>5 / 14,5 / -</t>
  </si>
  <si>
    <t>American Wheat Ale, охмелённый Citra.</t>
  </si>
  <si>
    <t>Nonstop Feeling</t>
  </si>
  <si>
    <t>8,6 / 20 / -</t>
  </si>
  <si>
    <t>Double IPA w/HBC 1019, KRUSH (HBC 586) &amp; Citra Сорт приурочен к дню рождения бара Опыт из Екатеринбурга. Ура!</t>
  </si>
  <si>
    <t>Same Shit Different Day V.2</t>
  </si>
  <si>
    <t>Вторая вариация лагера в коллаборации с московским бистро Underdog.</t>
  </si>
  <si>
    <t>ПРОСТ!</t>
  </si>
  <si>
    <t>4,7 / 12,3 / 11</t>
  </si>
  <si>
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</si>
  <si>
    <t>Традиционный баварский светлый фильтрованный лагер с легкой хмелевой горчинкой. В отличии от чешских и немецких пилснеров, обладает более мягким солодовым вкусом.</t>
  </si>
  <si>
    <t>акция</t>
  </si>
  <si>
    <t>Triple Sour Ale</t>
  </si>
  <si>
    <t>Most Wonderful Time 4 A Beer</t>
  </si>
  <si>
    <t>5 / - / 30</t>
  </si>
  <si>
    <t>Маршмэлоу , обезжиренный темный шоколад , обезжиренный молочный шоколад. Молочный сахар, конфеты Tofi и немного немного ванили.</t>
  </si>
  <si>
    <t>Tropic Sour Kitchen</t>
  </si>
  <si>
    <t>Тройной Саур с добавлением сока манго, банана, ананаса, апельсина, маракуйи и гуавы.</t>
  </si>
  <si>
    <t>Dry Nitro Stout</t>
  </si>
  <si>
    <t xml:space="preserve">4,2 / - / - </t>
  </si>
  <si>
    <t>Сухой стаут в ирландском стиле. Насыщен азотом.</t>
  </si>
  <si>
    <t>Классический светлый лагер в немецком стиле.</t>
  </si>
  <si>
    <t>Hoppy Lager - продолжение обновления базовой линейки, охмеленный Centennial.</t>
  </si>
  <si>
    <t>Hazy India Pale Ale, охмеление - Citra, Superdelic, Motueka.</t>
  </si>
  <si>
    <t>Milk Star</t>
  </si>
  <si>
    <t>5,6 / - / 24</t>
  </si>
  <si>
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</si>
  <si>
    <t>Selfmade Pilsner</t>
  </si>
  <si>
    <t>5 / 12 / 32</t>
  </si>
  <si>
    <t>Классический Pilsner.</t>
  </si>
  <si>
    <t>Beeswax</t>
  </si>
  <si>
    <t>New England Double IPA охмелённый Citra и Simcoe.</t>
  </si>
  <si>
    <t xml:space="preserve">Ghostly Caravan </t>
  </si>
  <si>
    <t>New England DIPA охмелённый Cashmere &amp; Citra.</t>
  </si>
  <si>
    <t>Sombra Blanca</t>
  </si>
  <si>
    <t>New England DIPA охмелённый Simcoe, Krush, Cashmere.</t>
  </si>
  <si>
    <t>NITRO Scratch</t>
  </si>
  <si>
    <t>5 / 13 / -</t>
  </si>
  <si>
    <t>Классика овсяного стаута на NITRO!</t>
  </si>
  <si>
    <t>STOP'N'GO: DDH+Lupulin Powder</t>
  </si>
  <si>
    <t>7 / 17 / 45</t>
  </si>
  <si>
    <t>Juicy Drum Beat New England IPA. DDH Citra &amp; Сascade + Mosaic Lupulin.</t>
  </si>
  <si>
    <t>Итог</t>
  </si>
  <si>
    <r>
      <rPr>
        <rFont val="Calibri"/>
        <sz val="12.0"/>
      </rPr>
      <t xml:space="preserve">Прайс обновлён 28.10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</si>
  <si>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Срок годности</t>
  </si>
  <si>
    <t>В РИТМЕ г. Санкт-Петербург</t>
  </si>
  <si>
    <t>В РИТМЕ</t>
  </si>
  <si>
    <t>NON ALCO ALE GRAPEFRUIT</t>
  </si>
  <si>
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</si>
  <si>
    <t>NON ALCO CLASSIC GOSE</t>
  </si>
  <si>
    <t>ОСВЕЖАЮЩИЙ / КИСЛЫЙ / - классический пшеничный гозе с фруктовой ароматикой и сдержанным характером кориандра, соли и хмеля.</t>
  </si>
  <si>
    <t>NON ALCO COFFEE STOUT</t>
  </si>
  <si>
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</si>
  <si>
    <t>NON ALCO LAGER</t>
  </si>
  <si>
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</si>
  <si>
    <t>NON ALCO LEMON GOSE</t>
  </si>
  <si>
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</si>
  <si>
    <t>NON ALCO SOUR ALE FEIJOA</t>
  </si>
  <si>
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</si>
  <si>
    <t>NON ALCO SOUR ALE RASPBERRY</t>
  </si>
  <si>
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</si>
  <si>
    <t>Starovar Non Alco Dark</t>
  </si>
  <si>
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</si>
  <si>
    <t>Non-alcoholic Mead Жимолость</t>
  </si>
  <si>
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</si>
  <si>
    <t>Non-alcoholic Mead Цитрус</t>
  </si>
  <si>
    <t>Яркий, легкий цитрусовый мид с ароматными пряными нотками и грейпфрутовой горчинкой в послевкусии.</t>
  </si>
  <si>
    <t>Non-Alcoholic Mead Cherry</t>
  </si>
  <si>
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</si>
  <si>
    <t>Сидр Безалкогольный</t>
  </si>
  <si>
    <t>Безалкогольный сидр - сочный и насыщенный вкус, за счет добавления свежего яблочного сока.</t>
  </si>
  <si>
    <t>Bench г. Санкт-Петербург</t>
  </si>
  <si>
    <t>Bench</t>
  </si>
  <si>
    <t>Bench Абрикос Лемонграсс</t>
  </si>
  <si>
    <t>Lemonade</t>
  </si>
  <si>
    <t>Сладкий вкус абрикоса с лемонграссом и ностальгией по тому самому компоту. Остановись, сделай глоток и поймай настоящий «Bench-момент».</t>
  </si>
  <si>
    <t>Bench Грейпфрут Малина</t>
  </si>
  <si>
    <t>Спелая малина нежно подчеркивает сочный грейпфрут, дополняя яркую палитру вкуса и аромата. Bench: в твоей руке, в твоей компании, в твоей голове.</t>
  </si>
  <si>
    <t>Bench Слива Ваниль</t>
  </si>
  <si>
    <t>Мягкая кислинка сливы и тонкий аромат ванили заигрывают со знакомыми оттенками крем-соды. Bench – лавочка, которая всегда свободна для тебя.</t>
  </si>
  <si>
    <t>Bench Фейхоа Смородина</t>
  </si>
  <si>
    <t>Освежающий лимонад с бархатистым вкусом смородины и тропическим характером фейхоа. Присядь на Bench, это разрыв!</t>
  </si>
  <si>
    <t>Scottish Small Ale</t>
  </si>
  <si>
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</si>
  <si>
    <t>Сатори</t>
  </si>
  <si>
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</si>
  <si>
    <t>Lapochka г. Аша</t>
  </si>
  <si>
    <t>Lapochka</t>
  </si>
  <si>
    <t>Т-Банк Pineapple + Passion fruit + Lemongrass</t>
  </si>
  <si>
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</si>
  <si>
    <t>ТЕХПРОСВЕТ</t>
  </si>
  <si>
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</si>
  <si>
    <t>CBD Pear + Ginger</t>
  </si>
  <si>
    <t>Vitamin Water</t>
  </si>
  <si>
    <t>Имбирно-грушевая вода с добавлением каннабидиола (CBD). Не только освежает, но и укрепляет организм, помогает восстановить силы и расслабиться.</t>
  </si>
  <si>
    <t>Detox Peach + Passion Fruit</t>
  </si>
  <si>
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</si>
  <si>
    <t>Fizzy Riesling</t>
  </si>
  <si>
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</si>
  <si>
    <t>Grapefruit + Lemon</t>
  </si>
  <si>
    <t>Освежающий лимонад с классическим сочетанием лимона и грейпфрута.</t>
  </si>
  <si>
    <t>Mango + Сhili</t>
  </si>
  <si>
    <t>Смесь тайского манго и слегка искрящего на послевкусии чили.</t>
  </si>
  <si>
    <t>Peach + Verbena</t>
  </si>
  <si>
    <t>Нежное сочетание сока белого персика и ароматных цветов вербены - новый вкус от  lapochka.</t>
  </si>
  <si>
    <t>Pineapple + Lychee</t>
  </si>
  <si>
    <t>Натуральный сок ананаса с добавлением сока плода личи.</t>
  </si>
  <si>
    <t>Watermelon + Melissa</t>
  </si>
  <si>
    <t>Смесь сочного спелого арбуза и ароматной мелиссы.</t>
  </si>
  <si>
    <t>Easy Hazy</t>
  </si>
  <si>
    <t>NE PA</t>
  </si>
  <si>
    <t>Безалкогольный New England Pale Ale.</t>
  </si>
  <si>
    <t>Easy Hops</t>
  </si>
  <si>
    <t>Безалкогольный IPA с ярким ароматом и выраженной горечью, полученным благодаря охмелению Citra, Cascade и Mosaic.</t>
  </si>
  <si>
    <t>Easy Pils</t>
  </si>
  <si>
    <t>Тот самый легендарный пилснер от Ostrovica в безалкогольной версии.</t>
  </si>
  <si>
    <t>Sober Mate</t>
  </si>
  <si>
    <t>Наш давний знакомый, базовый гозе с кориандром и цедрой апельсина Salt Mate, диссоциировал в свою безалкогольную версию.</t>
  </si>
  <si>
    <t>Nympho</t>
  </si>
  <si>
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</si>
  <si>
    <t>C U 2NITE</t>
  </si>
  <si>
    <t>Cherry Beer</t>
  </si>
  <si>
    <t>Безалкогольное пиво с добавлением вишневого сока и миндаля.</t>
  </si>
  <si>
    <t>Dancing With Your Demons</t>
  </si>
  <si>
    <t>Non Alco Beer</t>
  </si>
  <si>
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</si>
  <si>
    <t>Larousse Gastronomique (Watermelon)</t>
  </si>
  <si>
    <t>Безалкогольное пиво с добавлением арбуза.</t>
  </si>
  <si>
    <t>Go the N.A.</t>
  </si>
  <si>
    <t>Классический безалкогольный гозе.</t>
  </si>
  <si>
    <t>Go the N.A. (Kalamansi Batch)</t>
  </si>
  <si>
    <t>Безалкогольный гозе с каламинси.</t>
  </si>
  <si>
    <t>Larousse Gastronomique</t>
  </si>
  <si>
    <t>Безалкогольный саур эль с клюквой.</t>
  </si>
  <si>
    <t>U R AWSM!</t>
  </si>
  <si>
    <t>Extra Quadro Fruited Non-Alcoholic Sour Ale.</t>
  </si>
  <si>
    <t>XOXO</t>
  </si>
  <si>
    <t>Клубничный безалкогольный кислый эль на закисленной солодовой базе с добавлением сока и пюре клубники.</t>
  </si>
  <si>
    <t>Чай Габа Абрикос Мята</t>
  </si>
  <si>
    <t>Tea</t>
  </si>
  <si>
    <t>Чай Габа Абрикос Мята.</t>
  </si>
  <si>
    <t>Чай Ромашковый Груша, Лайм</t>
  </si>
  <si>
    <t>Ромашковый чай с грушей и лаймом.</t>
  </si>
  <si>
    <t>Чай Шен Пуэр Грейпфрут Белый</t>
  </si>
  <si>
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</si>
  <si>
    <t>Чай Шу Пуэр Гранат Малина</t>
  </si>
  <si>
    <t>Малина придаёт чаю лёгкую сладость, а гранат добавляет освежающую кислинку. Шу пуэр с малиной и гранатом придаёт бодрости и активности.</t>
  </si>
  <si>
    <t>CBD Чай Айва</t>
  </si>
  <si>
    <t>Конопляный чай с айвой</t>
  </si>
  <si>
    <t>CBD Чай Шиповник</t>
  </si>
  <si>
    <t>Конопляный чай с шиповником</t>
  </si>
  <si>
    <t>Yaki-Da</t>
  </si>
  <si>
    <t>Lavender Tonic</t>
  </si>
  <si>
    <t>Tonic</t>
  </si>
  <si>
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</si>
  <si>
    <t>Pear Ginger Pepper</t>
  </si>
  <si>
    <t>Лимонад, изготовленный с использованием сока груши, а также с добавлением экстрактов имбиря и 4 перцев.</t>
  </si>
  <si>
    <t>Embrace</t>
  </si>
  <si>
    <t>Безалкогольный IPA в стиле западного побережья, охмелённый с помощью сухого охмеления Simcoe, Centennial и Citra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</si>
</sst>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u/>
      <sz val="12.0"/>
      <color rgb="FF0000FF"/>
      <name val="Calibri"/>
    </font>
    <font>
      <color theme="1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3.0"/>
      <color rgb="FF000000"/>
      <name val="Calibri"/>
    </font>
    <font/>
    <font>
      <b/>
      <sz val="12.0"/>
      <color rgb="FF000000"/>
      <name val="Calibri"/>
    </font>
    <font>
      <b/>
      <u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color rgb="FF000000"/>
      <name val="Arial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1.0"/>
      <color rgb="FF212529"/>
      <name val="Calibri"/>
    </font>
    <font>
      <b/>
      <u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/>
    </xf>
    <xf borderId="3" fillId="2" fontId="5" numFmtId="0" xfId="0" applyAlignment="1" applyBorder="1" applyFill="1" applyFont="1">
      <alignment vertical="center"/>
    </xf>
    <xf borderId="4" fillId="0" fontId="6" numFmtId="0" xfId="0" applyBorder="1" applyFont="1"/>
    <xf borderId="2" fillId="0" fontId="6" numFmtId="0" xfId="0" applyBorder="1" applyFont="1"/>
    <xf borderId="1" fillId="2" fontId="5" numFmtId="0" xfId="0" applyAlignment="1" applyBorder="1" applyFont="1">
      <alignment vertical="center"/>
    </xf>
    <xf borderId="1" fillId="3" fontId="7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3" fontId="10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5" fillId="3" fontId="11" numFmtId="0" xfId="0" applyAlignment="1" applyBorder="1" applyFont="1">
      <alignment readingOrder="0" vertical="center"/>
    </xf>
    <xf borderId="5" fillId="3" fontId="10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3" fontId="7" numFmtId="0" xfId="0" applyAlignment="1" applyBorder="1" applyFont="1">
      <alignment horizontal="center" vertical="center"/>
    </xf>
    <xf borderId="1" fillId="0" fontId="1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vertical="center"/>
    </xf>
    <xf borderId="5" fillId="3" fontId="15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3" fillId="2" fontId="16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1" fillId="3" fontId="4" numFmtId="0" xfId="0" applyAlignment="1" applyBorder="1" applyFont="1">
      <alignment readingOrder="0" shrinkToFit="0" vertical="center" wrapText="1"/>
    </xf>
    <xf borderId="6" fillId="3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readingOrder="0" vertical="center"/>
    </xf>
    <xf borderId="1" fillId="2" fontId="16" numFmtId="0" xfId="0" applyAlignment="1" applyBorder="1" applyFont="1">
      <alignment readingOrder="0" vertical="center"/>
    </xf>
    <xf borderId="1" fillId="3" fontId="18" numFmtId="0" xfId="0" applyAlignment="1" applyBorder="1" applyFont="1">
      <alignment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readingOrder="0"/>
    </xf>
    <xf borderId="1" fillId="2" fontId="16" numFmtId="0" xfId="0" applyAlignment="1" applyBorder="1" applyFont="1">
      <alignment readingOrder="0"/>
    </xf>
    <xf borderId="1" fillId="0" fontId="9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" fillId="0" fontId="17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readingOrder="0"/>
    </xf>
    <xf borderId="7" fillId="0" fontId="6" numFmtId="0" xfId="0" applyBorder="1" applyFont="1"/>
    <xf borderId="5" fillId="0" fontId="19" numFmtId="0" xfId="0" applyAlignment="1" applyBorder="1" applyFont="1">
      <alignment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2" fontId="16" numFmtId="0" xfId="0" applyBorder="1" applyFont="1"/>
    <xf borderId="1" fillId="2" fontId="16" numFmtId="0" xfId="0" applyBorder="1" applyFont="1"/>
    <xf borderId="1" fillId="3" fontId="7" numFmtId="0" xfId="0" applyAlignment="1" applyBorder="1" applyFont="1">
      <alignment vertical="center"/>
    </xf>
    <xf borderId="5" fillId="0" fontId="20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3" fontId="17" numFmtId="0" xfId="0" applyAlignment="1" applyBorder="1" applyFont="1">
      <alignment shrinkToFit="0" vertical="center" wrapText="1"/>
    </xf>
    <xf borderId="1" fillId="3" fontId="17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3" fontId="2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center" wrapText="1"/>
    </xf>
    <xf borderId="1" fillId="3" fontId="23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vertical="center"/>
    </xf>
    <xf borderId="3" fillId="2" fontId="16" numFmtId="0" xfId="0" applyBorder="1" applyFont="1"/>
    <xf borderId="1" fillId="2" fontId="16" numFmtId="0" xfId="0" applyBorder="1" applyFont="1"/>
    <xf borderId="1" fillId="3" fontId="3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5" fillId="3" fontId="24" numFmtId="0" xfId="0" applyAlignment="1" applyBorder="1" applyFont="1">
      <alignment shrinkToFit="0" vertical="center" wrapText="1"/>
    </xf>
    <xf borderId="5" fillId="3" fontId="25" numFmtId="0" xfId="0" applyAlignment="1" applyBorder="1" applyFont="1">
      <alignment vertical="center"/>
    </xf>
    <xf borderId="5" fillId="3" fontId="10" numFmtId="0" xfId="0" applyAlignment="1" applyBorder="1" applyFont="1">
      <alignment readingOrder="0" shrinkToFit="0" vertical="center" wrapText="1"/>
    </xf>
    <xf borderId="3" fillId="2" fontId="16" numFmtId="0" xfId="0" applyAlignment="1" applyBorder="1" applyFont="1">
      <alignment vertical="bottom"/>
    </xf>
    <xf borderId="1" fillId="2" fontId="16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center"/>
    </xf>
    <xf borderId="5" fillId="3" fontId="17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vertical="center"/>
    </xf>
    <xf borderId="1" fillId="0" fontId="26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17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8" fillId="0" fontId="6" numFmtId="0" xfId="0" applyBorder="1" applyFont="1"/>
    <xf borderId="5" fillId="3" fontId="10" numFmtId="0" xfId="0" applyAlignment="1" applyBorder="1" applyFont="1">
      <alignment horizontal="left" readingOrder="0" shrinkToFit="0" vertical="center" wrapText="1"/>
    </xf>
    <xf borderId="6" fillId="3" fontId="9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6" fillId="3" fontId="27" numFmtId="0" xfId="0" applyAlignment="1" applyBorder="1" applyFont="1">
      <alignment readingOrder="0" shrinkToFit="0" vertical="center" wrapText="1"/>
    </xf>
    <xf borderId="6" fillId="3" fontId="10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shrinkToFit="0" wrapText="1"/>
    </xf>
    <xf borderId="1" fillId="0" fontId="28" numFmtId="0" xfId="0" applyBorder="1" applyFont="1"/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shrinkToFit="0" wrapText="1"/>
    </xf>
    <xf borderId="1" fillId="3" fontId="9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3" fontId="5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vertical="center"/>
    </xf>
    <xf borderId="6" fillId="3" fontId="29" numFmtId="0" xfId="0" applyAlignment="1" applyBorder="1" applyFont="1">
      <alignment vertical="center"/>
    </xf>
    <xf borderId="6" fillId="3" fontId="10" numFmtId="0" xfId="0" applyAlignment="1" applyBorder="1" applyFont="1">
      <alignment shrinkToFit="0" vertical="center" wrapText="1"/>
    </xf>
    <xf borderId="6" fillId="3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 readingOrder="0" vertical="center"/>
    </xf>
    <xf borderId="6" fillId="3" fontId="30" numFmtId="0" xfId="0" applyAlignment="1" applyBorder="1" applyFont="1">
      <alignment readingOrder="0" vertical="center"/>
    </xf>
    <xf borderId="6" fillId="3" fontId="31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readingOrder="0" shrinkToFit="0" vertical="bottom" wrapText="1"/>
    </xf>
    <xf borderId="0" fillId="3" fontId="4" numFmtId="0" xfId="0" applyAlignment="1" applyFont="1">
      <alignment readingOrder="0" shrinkToFit="0" vertical="center" wrapText="1"/>
    </xf>
    <xf borderId="0" fillId="0" fontId="32" numFmtId="0" xfId="0" applyAlignment="1" applyFont="1">
      <alignment vertical="center"/>
    </xf>
    <xf borderId="0" fillId="3" fontId="9" numFmtId="0" xfId="0" applyAlignment="1" applyFont="1">
      <alignment horizontal="center" shrinkToFit="0" vertical="center" wrapText="1"/>
    </xf>
    <xf borderId="0" fillId="3" fontId="9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3" fontId="7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3" fillId="2" fontId="5" numFmtId="0" xfId="0" applyAlignment="1" applyBorder="1" applyFont="1">
      <alignment readingOrder="0" vertical="center"/>
    </xf>
    <xf borderId="1" fillId="2" fontId="5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vertical="center"/>
    </xf>
    <xf borderId="1" fillId="5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33" numFmtId="0" xfId="0" applyAlignment="1" applyBorder="1" applyFont="1">
      <alignment readingOrder="0" shrinkToFit="0" vertical="center" wrapText="1"/>
    </xf>
    <xf borderId="1" fillId="3" fontId="17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 shrinkToFit="0" vertical="center" wrapText="1"/>
    </xf>
    <xf borderId="1" fillId="3" fontId="34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1" fillId="3" fontId="7" numFmtId="0" xfId="0" applyAlignment="1" applyBorder="1" applyFont="1">
      <alignment readingOrder="0" vertical="center"/>
    </xf>
    <xf borderId="1" fillId="3" fontId="17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1" fillId="3" fontId="7" numFmtId="0" xfId="0" applyAlignment="1" applyBorder="1" applyFont="1">
      <alignment readingOrder="0" vertical="center"/>
    </xf>
    <xf borderId="1" fillId="3" fontId="35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36" numFmtId="0" xfId="0" applyBorder="1" applyFont="1"/>
    <xf borderId="1" fillId="0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vertical="center"/>
    </xf>
    <xf borderId="0" fillId="3" fontId="7" numFmtId="0" xfId="0" applyAlignment="1" applyFont="1">
      <alignment horizontal="center" vertical="center"/>
    </xf>
    <xf borderId="0" fillId="4" fontId="7" numFmtId="0" xfId="0" applyAlignment="1" applyFont="1">
      <alignment horizontal="center" vertical="center"/>
    </xf>
    <xf borderId="5" fillId="2" fontId="16" numFmtId="0" xfId="0" applyAlignment="1" applyBorder="1" applyFont="1">
      <alignment vertical="center"/>
    </xf>
    <xf borderId="8" fillId="3" fontId="9" numFmtId="0" xfId="0" applyAlignment="1" applyBorder="1" applyFont="1">
      <alignment horizontal="center" vertical="center"/>
    </xf>
    <xf borderId="8" fillId="3" fontId="10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readingOrder="0" vertical="center"/>
    </xf>
    <xf borderId="1" fillId="3" fontId="4" numFmtId="0" xfId="0" applyAlignment="1" applyBorder="1" applyFont="1">
      <alignment vertical="center"/>
    </xf>
    <xf borderId="0" fillId="3" fontId="7" numFmtId="0" xfId="0" applyAlignment="1" applyFont="1">
      <alignment readingOrder="0" vertical="center"/>
    </xf>
    <xf borderId="8" fillId="3" fontId="3" numFmtId="0" xfId="0" applyAlignment="1" applyBorder="1" applyFont="1">
      <alignment horizontal="center" readingOrder="0" vertical="center"/>
    </xf>
    <xf borderId="8" fillId="3" fontId="17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vertical="center"/>
    </xf>
    <xf borderId="5" fillId="2" fontId="16" numFmtId="0" xfId="0" applyBorder="1" applyFont="1"/>
    <xf borderId="8" fillId="3" fontId="17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vertical="center"/>
    </xf>
    <xf borderId="6" fillId="3" fontId="7" numFmtId="0" xfId="0" applyAlignment="1" applyBorder="1" applyFont="1">
      <alignment vertical="center"/>
    </xf>
    <xf borderId="1" fillId="3" fontId="7" numFmtId="0" xfId="0" applyAlignment="1" applyBorder="1" applyFont="1">
      <alignment horizontal="left" readingOrder="0" vertical="center"/>
    </xf>
    <xf borderId="8" fillId="3" fontId="17" numFmtId="0" xfId="0" applyAlignment="1" applyBorder="1" applyFont="1">
      <alignment readingOrder="0" shrinkToFit="0" wrapText="1"/>
    </xf>
    <xf borderId="1" fillId="3" fontId="37" numFmtId="0" xfId="0" applyAlignment="1" applyBorder="1" applyFont="1">
      <alignment horizontal="left" readingOrder="0" vertical="center"/>
    </xf>
    <xf borderId="1" fillId="3" fontId="17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shrinkToFit="0" vertical="center" wrapText="1"/>
    </xf>
    <xf borderId="1" fillId="3" fontId="38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wrapText="1"/>
    </xf>
    <xf borderId="1" fillId="3" fontId="38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readingOrder="0" shrinkToFit="0" vertical="center" wrapText="1"/>
    </xf>
    <xf borderId="1" fillId="3" fontId="38" numFmtId="0" xfId="0" applyAlignment="1" applyBorder="1" applyFont="1">
      <alignment horizontal="left"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39" numFmtId="0" xfId="0" applyAlignment="1" applyFont="1">
      <alignment shrinkToFit="0" vertical="center" wrapText="1"/>
    </xf>
    <xf borderId="0" fillId="3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114675" cy="1314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038475" cy="1285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667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untappd.com/b/khoffner-brewery-tvoj-horoshij-malchik/6181883" TargetMode="External"/><Relationship Id="rId194" Type="http://schemas.openxmlformats.org/officeDocument/2006/relationships/hyperlink" Target="https://untappd.com/b/khoffner-brewery-lagerline/6333993" TargetMode="External"/><Relationship Id="rId193" Type="http://schemas.openxmlformats.org/officeDocument/2006/relationships/hyperlink" Target="https://untappd.com/b/khoffner-brewery-hungry-artist/6148534" TargetMode="External"/><Relationship Id="rId192" Type="http://schemas.openxmlformats.org/officeDocument/2006/relationships/hyperlink" Target="https://untappd.com/b/khoffner-brewery-days-sober-00/6142989" TargetMode="External"/><Relationship Id="rId191" Type="http://schemas.openxmlformats.org/officeDocument/2006/relationships/hyperlink" Target="https://untappd.com/b/khoffner-brewery-borgata/6172671" TargetMode="External"/><Relationship Id="rId187" Type="http://schemas.openxmlformats.org/officeDocument/2006/relationships/hyperlink" Target="https://untappd.com/b/khoffner-brewery-vydyhaj/6289469?edit=success&amp;edit=success" TargetMode="External"/><Relationship Id="rId186" Type="http://schemas.openxmlformats.org/officeDocument/2006/relationships/hyperlink" Target="https://untappd.com/b/horror-brewing-tripod/6245262" TargetMode="External"/><Relationship Id="rId185" Type="http://schemas.openxmlformats.org/officeDocument/2006/relationships/hyperlink" Target="https://untappd.com/b/horror-brewing-midnight-beast/6376072" TargetMode="External"/><Relationship Id="rId184" Type="http://schemas.openxmlformats.org/officeDocument/2006/relationships/hyperlink" Target="https://untappd.com/b/horror-brewing-festival-destroyer/6365736" TargetMode="External"/><Relationship Id="rId189" Type="http://schemas.openxmlformats.org/officeDocument/2006/relationships/hyperlink" Target="https://untappd.com/b/khoffner-brewery-neizbezhnost/6221046" TargetMode="External"/><Relationship Id="rId188" Type="http://schemas.openxmlformats.org/officeDocument/2006/relationships/hyperlink" Target="https://untappd.com/b/khoffner-brewery-dobro/6374234" TargetMode="External"/><Relationship Id="rId183" Type="http://schemas.openxmlformats.org/officeDocument/2006/relationships/hyperlink" Target="https://untappd.com/b/horror-brewing-a-night-in-the-lonesome-october/6431121" TargetMode="External"/><Relationship Id="rId182" Type="http://schemas.openxmlformats.org/officeDocument/2006/relationships/hyperlink" Target="https://untappd.com/b/horror-brewing-golova/6365743" TargetMode="External"/><Relationship Id="rId181" Type="http://schemas.openxmlformats.org/officeDocument/2006/relationships/hyperlink" Target="https://untappd.com/b/gas-brew-summertime-ipa/6341219" TargetMode="External"/><Relationship Id="rId180" Type="http://schemas.openxmlformats.org/officeDocument/2006/relationships/hyperlink" Target="https://untappd.com/b/gas-brew-northern-nomad/6360356" TargetMode="External"/><Relationship Id="rId176" Type="http://schemas.openxmlformats.org/officeDocument/2006/relationships/hyperlink" Target="https://untappd.com/b/dieta-dieta-seven-lands/6290807" TargetMode="External"/><Relationship Id="rId297" Type="http://schemas.openxmlformats.org/officeDocument/2006/relationships/hyperlink" Target="https://untappd.com/b/selfmade-brewery-railgun/6415789" TargetMode="External"/><Relationship Id="rId175" Type="http://schemas.openxmlformats.org/officeDocument/2006/relationships/hyperlink" Target="https://untappd.com/b/dieta-dieta-iso-fucking-tonic/6367232" TargetMode="External"/><Relationship Id="rId296" Type="http://schemas.openxmlformats.org/officeDocument/2006/relationships/hyperlink" Target="https://untappd.com/b/selfmade-brewery-pepper-keeper/6335212" TargetMode="External"/><Relationship Id="rId174" Type="http://schemas.openxmlformats.org/officeDocument/2006/relationships/hyperlink" Target="https://untappd.com/b/dieta-dieta-hot-smoothie-you-deserve-mango/3203119" TargetMode="External"/><Relationship Id="rId295" Type="http://schemas.openxmlformats.org/officeDocument/2006/relationships/hyperlink" Target="https://untappd.com/b/selfmade-brewery-meltdown-sunset/6430205" TargetMode="External"/><Relationship Id="rId173" Type="http://schemas.openxmlformats.org/officeDocument/2006/relationships/hyperlink" Target="https://untappd.com/b/dieta-dieta-drink-em-all/6398470" TargetMode="External"/><Relationship Id="rId294" Type="http://schemas.openxmlformats.org/officeDocument/2006/relationships/hyperlink" Target="https://untappd.com/b/selfmade-brewery-megafauna/6421588" TargetMode="External"/><Relationship Id="rId179" Type="http://schemas.openxmlformats.org/officeDocument/2006/relationships/hyperlink" Target="https://untappd.com/b/gas-brew-hidden-garden-6/4804304" TargetMode="External"/><Relationship Id="rId178" Type="http://schemas.openxmlformats.org/officeDocument/2006/relationships/hyperlink" Target="https://untappd.com/b/dieta-dieta-tropical-domination/6445134" TargetMode="External"/><Relationship Id="rId299" Type="http://schemas.openxmlformats.org/officeDocument/2006/relationships/hyperlink" Target="https://untappd.com/b/selfmade-brewery-shroomdalf/5394058" TargetMode="External"/><Relationship Id="rId177" Type="http://schemas.openxmlformats.org/officeDocument/2006/relationships/hyperlink" Target="https://untappd.com/b/dieta-dieta-seven-seas/6290803" TargetMode="External"/><Relationship Id="rId298" Type="http://schemas.openxmlformats.org/officeDocument/2006/relationships/hyperlink" Target="https://untappd.com/b/selfmade-brewery-rocket-jump/2396150" TargetMode="External"/><Relationship Id="rId198" Type="http://schemas.openxmlformats.org/officeDocument/2006/relationships/hyperlink" Target="https://untappd.com/b/chibis-brewery-tripel-monke/6108710" TargetMode="External"/><Relationship Id="rId197" Type="http://schemas.openxmlformats.org/officeDocument/2006/relationships/hyperlink" Target="https://untappd.com/b/khoffner-brewery-neipat-kolotit/6202544" TargetMode="External"/><Relationship Id="rId196" Type="http://schemas.openxmlformats.org/officeDocument/2006/relationships/hyperlink" Target="https://untappd.com/b/khoffner-brewery-la-lucha-libre-extra/5714495" TargetMode="External"/><Relationship Id="rId195" Type="http://schemas.openxmlformats.org/officeDocument/2006/relationships/hyperlink" Target="https://untappd.com/b/khoffner-brewery-la-lucha-libre/5256631" TargetMode="External"/><Relationship Id="rId199" Type="http://schemas.openxmlformats.org/officeDocument/2006/relationships/hyperlink" Target="https://untappd.com/b/mantra-sheesecake-point-blueberry-banana-and-almond/6332098" TargetMode="External"/><Relationship Id="rId150" Type="http://schemas.openxmlformats.org/officeDocument/2006/relationships/hyperlink" Target="https://untappd.com/b/big-village-brewery-solar-pressure-orange-ed/6401156" TargetMode="External"/><Relationship Id="rId271" Type="http://schemas.openxmlformats.org/officeDocument/2006/relationships/hyperlink" Target="https://untappd.com/b/red-rocket-brewery-hoppy-lager/6254504" TargetMode="External"/><Relationship Id="rId392" Type="http://schemas.openxmlformats.org/officeDocument/2006/relationships/hyperlink" Target="https://untappd.com/b/zagovor-brewery-street-justice-mosaic/6400027" TargetMode="External"/><Relationship Id="rId270" Type="http://schemas.openxmlformats.org/officeDocument/2006/relationships/hyperlink" Target="https://untappd.com/b/red-rocket-brewery-esb/5218599" TargetMode="External"/><Relationship Id="rId391" Type="http://schemas.openxmlformats.org/officeDocument/2006/relationships/hyperlink" Target="https://untappd.com/b/zagovor-brewery-street-justice-idaho7/2595623" TargetMode="External"/><Relationship Id="rId390" Type="http://schemas.openxmlformats.org/officeDocument/2006/relationships/hyperlink" Target="https://untappd.com/b/zagovor-brewery-street-justice-citra/2449774" TargetMode="External"/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kolomenskaya-pivovarnya-zhiguli-osoboe/4588552" TargetMode="External"/><Relationship Id="rId3" Type="http://schemas.openxmlformats.org/officeDocument/2006/relationships/hyperlink" Target="https://untappd.com/b/kolomenskaya-pivovarnya-starovar-apa/6032294" TargetMode="External"/><Relationship Id="rId149" Type="http://schemas.openxmlformats.org/officeDocument/2006/relationships/hyperlink" Target="https://untappd.com/b/big-village-brewery-seven-shimmers/6446218" TargetMode="External"/><Relationship Id="rId4" Type="http://schemas.openxmlformats.org/officeDocument/2006/relationships/hyperlink" Target="https://untappd.com/b/kolomenskaya-pivovarnya-starovar-belgian-ale/4164678" TargetMode="External"/><Relationship Id="rId148" Type="http://schemas.openxmlformats.org/officeDocument/2006/relationships/hyperlink" Target="https://untappd.com/b/big-village-brewery-repose/6430167" TargetMode="External"/><Relationship Id="rId269" Type="http://schemas.openxmlformats.org/officeDocument/2006/relationships/hyperlink" Target="https://untappd.com/b/red-rocket-brewery-dry-stout/6046324" TargetMode="External"/><Relationship Id="rId9" Type="http://schemas.openxmlformats.org/officeDocument/2006/relationships/hyperlink" Target="https://untappd.com/b/kolomenskaya-pivovarnya-starovar-munchen-helles/4164673" TargetMode="External"/><Relationship Id="rId143" Type="http://schemas.openxmlformats.org/officeDocument/2006/relationships/hyperlink" Target="https://untappd.com/b/big-village-brewery-backyard-party/5369794" TargetMode="External"/><Relationship Id="rId264" Type="http://schemas.openxmlformats.org/officeDocument/2006/relationships/hyperlink" Target="https://untappd.com/b/red-button-brewery-xtv-1-frozen/6425241" TargetMode="External"/><Relationship Id="rId385" Type="http://schemas.openxmlformats.org/officeDocument/2006/relationships/hyperlink" Target="https://untappd.com/b/zagovor-brewery-recovery-pils/5955289" TargetMode="External"/><Relationship Id="rId142" Type="http://schemas.openxmlformats.org/officeDocument/2006/relationships/hyperlink" Target="https://untappd.com/b/big-village-brewery-abc-weizen/3126178" TargetMode="External"/><Relationship Id="rId263" Type="http://schemas.openxmlformats.org/officeDocument/2006/relationships/hyperlink" Target="https://untappd.com/b/red-button-brewery-vari-oat-beer/6446878" TargetMode="External"/><Relationship Id="rId384" Type="http://schemas.openxmlformats.org/officeDocument/2006/relationships/hyperlink" Target="https://untappd.com/b/zagovor-brewery-planespotting-spot/6151172" TargetMode="External"/><Relationship Id="rId141" Type="http://schemas.openxmlformats.org/officeDocument/2006/relationships/hyperlink" Target="https://untappd.com/b/big-village-brewery-abc-kolsch/3669313" TargetMode="External"/><Relationship Id="rId262" Type="http://schemas.openxmlformats.org/officeDocument/2006/relationships/hyperlink" Target="https://untappd.com/b/red-button-brewery-vari-corn-and-rice-beer/6314918" TargetMode="External"/><Relationship Id="rId383" Type="http://schemas.openxmlformats.org/officeDocument/2006/relationships/hyperlink" Target="https://untappd.com/b/zagovor-brewery-multi-pass-mead/6218122" TargetMode="External"/><Relationship Id="rId140" Type="http://schemas.openxmlformats.org/officeDocument/2006/relationships/hyperlink" Target="https://untappd.com/b/big-pot-very-tasty/6235455" TargetMode="External"/><Relationship Id="rId261" Type="http://schemas.openxmlformats.org/officeDocument/2006/relationships/hyperlink" Target="https://untappd.com/b/red-button-brewery-tropical-trip/6194389" TargetMode="External"/><Relationship Id="rId382" Type="http://schemas.openxmlformats.org/officeDocument/2006/relationships/hyperlink" Target="https://untappd.com/b/zagovor-brewery-mezzonint/6203626" TargetMode="External"/><Relationship Id="rId5" Type="http://schemas.openxmlformats.org/officeDocument/2006/relationships/hyperlink" Target="https://untappd.com/b/kolomenskaya-pivovarnya-starovar-black-velvet/4164671" TargetMode="External"/><Relationship Id="rId147" Type="http://schemas.openxmlformats.org/officeDocument/2006/relationships/hyperlink" Target="https://untappd.com/b/big-village-brewery-no-sleep-time/6446208" TargetMode="External"/><Relationship Id="rId268" Type="http://schemas.openxmlformats.org/officeDocument/2006/relationships/hyperlink" Target="https://untappd.com/b/red-rocket-brewery-domofon-apa/6308902" TargetMode="External"/><Relationship Id="rId389" Type="http://schemas.openxmlformats.org/officeDocument/2006/relationships/hyperlink" Target="https://untappd.com/b/zagovor-brewery-stoner/873889" TargetMode="External"/><Relationship Id="rId6" Type="http://schemas.openxmlformats.org/officeDocument/2006/relationships/hyperlink" Target="https://untappd.com/b/kolomenskaya-pivovarnya-starovar-english-porter/4164672" TargetMode="External"/><Relationship Id="rId146" Type="http://schemas.openxmlformats.org/officeDocument/2006/relationships/hyperlink" Target="https://untappd.com/b/big-village-brewery-momijigari/4999066" TargetMode="External"/><Relationship Id="rId267" Type="http://schemas.openxmlformats.org/officeDocument/2006/relationships/hyperlink" Target="https://untappd.com/b/red-rocket-brewery-dipa/6158498" TargetMode="External"/><Relationship Id="rId388" Type="http://schemas.openxmlformats.org/officeDocument/2006/relationships/hyperlink" Target="https://untappd.com/b/zagovor-brewery-spirals/5927150" TargetMode="External"/><Relationship Id="rId7" Type="http://schemas.openxmlformats.org/officeDocument/2006/relationships/hyperlink" Target="https://untappd.com/b/kolomenskaya-pivovarnya-starovar-greenwich/4689844" TargetMode="External"/><Relationship Id="rId145" Type="http://schemas.openxmlformats.org/officeDocument/2006/relationships/hyperlink" Target="https://untappd.com/b/big-village-brewery-fruitride/6430163" TargetMode="External"/><Relationship Id="rId266" Type="http://schemas.openxmlformats.org/officeDocument/2006/relationships/hyperlink" Target="https://untappd.com/b/red-rocket-brewery-ding-dong/6335176" TargetMode="External"/><Relationship Id="rId387" Type="http://schemas.openxmlformats.org/officeDocument/2006/relationships/hyperlink" Target="https://untappd.com/b/zagovor-brewery-slow-and-trve-ddh-lupulin-powder/3007609" TargetMode="External"/><Relationship Id="rId8" Type="http://schemas.openxmlformats.org/officeDocument/2006/relationships/hyperlink" Target="https://untappd.com/b/kolomenskaya-pivovarnya-starovar-ipa/6032302" TargetMode="External"/><Relationship Id="rId144" Type="http://schemas.openxmlformats.org/officeDocument/2006/relationships/hyperlink" Target="https://untappd.com/b/big-village-brewery-duck-stories/6046976" TargetMode="External"/><Relationship Id="rId265" Type="http://schemas.openxmlformats.org/officeDocument/2006/relationships/hyperlink" Target="https://untappd.com/b/red-rocket-brewery-citrus-groove/6445194" TargetMode="External"/><Relationship Id="rId386" Type="http://schemas.openxmlformats.org/officeDocument/2006/relationships/hyperlink" Target="https://untappd.com/b/zagovor-brewery-replica-talus/4253536" TargetMode="External"/><Relationship Id="rId260" Type="http://schemas.openxmlformats.org/officeDocument/2006/relationships/hyperlink" Target="https://untappd.com/b/red-button-brewery-tartigo/6448660" TargetMode="External"/><Relationship Id="rId381" Type="http://schemas.openxmlformats.org/officeDocument/2006/relationships/hyperlink" Target="https://untappd.com/b/zagovor-brewery-lager-lads-club/6425405" TargetMode="External"/><Relationship Id="rId380" Type="http://schemas.openxmlformats.org/officeDocument/2006/relationships/hyperlink" Target="https://untappd.com/b/zagovor-brewery-hot-wax/3026826" TargetMode="External"/><Relationship Id="rId139" Type="http://schemas.openxmlformats.org/officeDocument/2006/relationships/hyperlink" Target="https://untappd.com/b/big-pot-tomato-tomato-ukrop/6262102" TargetMode="External"/><Relationship Id="rId138" Type="http://schemas.openxmlformats.org/officeDocument/2006/relationships/hyperlink" Target="https://untappd.com/b/big-pot-serotonin-strawberry-and-guava/4621146" TargetMode="External"/><Relationship Id="rId259" Type="http://schemas.openxmlformats.org/officeDocument/2006/relationships/hyperlink" Target="https://untappd.com/b/red-button-brewery-tale-of-us-2025-batch/6220854" TargetMode="External"/><Relationship Id="rId137" Type="http://schemas.openxmlformats.org/officeDocument/2006/relationships/hyperlink" Target="https://untappd.com/b/big-pot-serotonin-mango-and-plum-and-peach/5013088" TargetMode="External"/><Relationship Id="rId258" Type="http://schemas.openxmlformats.org/officeDocument/2006/relationships/hyperlink" Target="https://untappd.com/b/red-button-brewery-puzzle-berry-sour/6448662" TargetMode="External"/><Relationship Id="rId379" Type="http://schemas.openxmlformats.org/officeDocument/2006/relationships/hyperlink" Target="https://untappd.com/b/zagovor-brewery-equilibrium-ekuanot-mosaic/2492814" TargetMode="External"/><Relationship Id="rId132" Type="http://schemas.openxmlformats.org/officeDocument/2006/relationships/hyperlink" Target="https://untappd.com/b/big-pot-birds-passion-fruit-and-pineapple-and-mango-and-banana/6283041" TargetMode="External"/><Relationship Id="rId253" Type="http://schemas.openxmlformats.org/officeDocument/2006/relationships/hyperlink" Target="https://untappd.com/b/red-button-brewery-matilde-frozen/6448651" TargetMode="External"/><Relationship Id="rId374" Type="http://schemas.openxmlformats.org/officeDocument/2006/relationships/hyperlink" Target="https://untappd.com/b/toksovo-cidrerie-toksovskaya-sidreriya-heart-of-smoke-ex-smoked-point/6029486" TargetMode="External"/><Relationship Id="rId131" Type="http://schemas.openxmlformats.org/officeDocument/2006/relationships/hyperlink" Target="https://untappd.com/b/big-pot-birds-mango-and-strawberry-and-watermelon/6359723" TargetMode="External"/><Relationship Id="rId252" Type="http://schemas.openxmlformats.org/officeDocument/2006/relationships/hyperlink" Target="https://untappd.com/b/red-button-brewery-kuts-sichuan-batch/6383170" TargetMode="External"/><Relationship Id="rId373" Type="http://schemas.openxmlformats.org/officeDocument/2006/relationships/hyperlink" Target="https://untappd.com/b/toksovo-cidrerie-toksovskaya-sidreriya-heart-of-gose-ex-gose-point/6029497" TargetMode="External"/><Relationship Id="rId130" Type="http://schemas.openxmlformats.org/officeDocument/2006/relationships/hyperlink" Target="https://untappd.com/b/big-pot-birds-lychee-and-mango-and-banana-and-passion-fruit/6283039" TargetMode="External"/><Relationship Id="rId251" Type="http://schemas.openxmlformats.org/officeDocument/2006/relationships/hyperlink" Target="https://untappd.com/b/red-button-brewery-kuts-sea-salt-batch/5495720" TargetMode="External"/><Relationship Id="rId372" Type="http://schemas.openxmlformats.org/officeDocument/2006/relationships/hyperlink" Target="https://untappd.com/b/toksovo-cidrerie-toksovskaya-sidreriya-heart-of-forest-ex-forest-point/6029509" TargetMode="External"/><Relationship Id="rId250" Type="http://schemas.openxmlformats.org/officeDocument/2006/relationships/hyperlink" Target="https://untappd.com/b/red-button-brewery-kuts-original/4725176" TargetMode="External"/><Relationship Id="rId371" Type="http://schemas.openxmlformats.org/officeDocument/2006/relationships/hyperlink" Target="https://untappd.com/b/toksovo-cidrerie-toksovskaya-sidreriya-tishina-bag-in-box-vintage-2021/5467519" TargetMode="External"/><Relationship Id="rId136" Type="http://schemas.openxmlformats.org/officeDocument/2006/relationships/hyperlink" Target="https://untappd.com/b/big-pot-serotonin-guava-and-papaya-and-peach-and-raspberry/4786950" TargetMode="External"/><Relationship Id="rId257" Type="http://schemas.openxmlformats.org/officeDocument/2006/relationships/hyperlink" Target="https://untappd.com/b/red-button-brewery-pure-shores/2502623" TargetMode="External"/><Relationship Id="rId378" Type="http://schemas.openxmlformats.org/officeDocument/2006/relationships/hyperlink" Target="https://untappd.com/b/zagovor-brewery-blast-beat-ddh-lupulin-powder/2621568" TargetMode="External"/><Relationship Id="rId135" Type="http://schemas.openxmlformats.org/officeDocument/2006/relationships/hyperlink" Target="https://untappd.com/b/big-pot-serotonin-guava-and-banana-and-raspberry-and-blackberry/5177007" TargetMode="External"/><Relationship Id="rId256" Type="http://schemas.openxmlformats.org/officeDocument/2006/relationships/hyperlink" Target="https://untappd.com/b/red-button-brewery-micro-kuts-little-gose/6236353" TargetMode="External"/><Relationship Id="rId377" Type="http://schemas.openxmlformats.org/officeDocument/2006/relationships/hyperlink" Target="https://untappd.com/b/zagovor-brewery-citra-citra/4960503" TargetMode="External"/><Relationship Id="rId134" Type="http://schemas.openxmlformats.org/officeDocument/2006/relationships/hyperlink" Target="https://untappd.com/b/big-pot-serotonin-black-currant-and-blueberry-and-mango/4898841" TargetMode="External"/><Relationship Id="rId255" Type="http://schemas.openxmlformats.org/officeDocument/2006/relationships/hyperlink" Target="https://untappd.com/b/red-button-brewery-melchior/6415924" TargetMode="External"/><Relationship Id="rId376" Type="http://schemas.openxmlformats.org/officeDocument/2006/relationships/hyperlink" Target="https://untappd.com/b/trywild-wild-cider-2019/4167781" TargetMode="External"/><Relationship Id="rId133" Type="http://schemas.openxmlformats.org/officeDocument/2006/relationships/hyperlink" Target="https://untappd.com/b/big-pot-first-love-black-currant-and-banana-and-raspberry/5877491" TargetMode="External"/><Relationship Id="rId254" Type="http://schemas.openxmlformats.org/officeDocument/2006/relationships/hyperlink" Target="https://untappd.com/b/red-button-brewery-meet-and-greet-black-tea-x-raspberry/6212693" TargetMode="External"/><Relationship Id="rId375" Type="http://schemas.openxmlformats.org/officeDocument/2006/relationships/hyperlink" Target="https://untappd.com/b/toksovo-cidrerie-toksovskaya-sidreriya-pet-nat-2022-batch-22-with-cryo-concentrated-apple-juice/6246794" TargetMode="External"/><Relationship Id="rId172" Type="http://schemas.openxmlformats.org/officeDocument/2006/relationships/hyperlink" Target="https://untappd.com/b/dieta-dieta-sinor-pomidor-i-drug-ego-timyan/5828388" TargetMode="External"/><Relationship Id="rId293" Type="http://schemas.openxmlformats.org/officeDocument/2006/relationships/hyperlink" Target="https://untappd.com/b/selfmade-brewery-mako-apa/2754015" TargetMode="External"/><Relationship Id="rId171" Type="http://schemas.openxmlformats.org/officeDocument/2006/relationships/hyperlink" Target="https://untappd.com/b/dieta-dieta-sinor-pomidor-i-bratec-bazilik/6110135" TargetMode="External"/><Relationship Id="rId292" Type="http://schemas.openxmlformats.org/officeDocument/2006/relationships/hyperlink" Target="https://untappd.com/b/selfmade-brewery-juicy-rebels/6357239" TargetMode="External"/><Relationship Id="rId170" Type="http://schemas.openxmlformats.org/officeDocument/2006/relationships/hyperlink" Target="https://untappd.com/b/dieta-dieta-ostryj-sinor-pomidor/5575634" TargetMode="External"/><Relationship Id="rId291" Type="http://schemas.openxmlformats.org/officeDocument/2006/relationships/hyperlink" Target="https://untappd.com/b/selfmade-brewery-invaders-strike-back/6356354" TargetMode="External"/><Relationship Id="rId290" Type="http://schemas.openxmlformats.org/officeDocument/2006/relationships/hyperlink" Target="https://untappd.com/b/selfmade-brewery-harvest-lord/6425172" TargetMode="External"/><Relationship Id="rId165" Type="http://schemas.openxmlformats.org/officeDocument/2006/relationships/hyperlink" Target="https://untappd.com/b/boxing-wizard-brewery-sound-bevvy/5579070" TargetMode="External"/><Relationship Id="rId286" Type="http://schemas.openxmlformats.org/officeDocument/2006/relationships/hyperlink" Target="https://untappd.com/b/selfmade-brewery-ethereal-mist/6397588" TargetMode="External"/><Relationship Id="rId164" Type="http://schemas.openxmlformats.org/officeDocument/2006/relationships/hyperlink" Target="https://untappd.com/b/boxing-wizard-brewery-moxie/4808117" TargetMode="External"/><Relationship Id="rId285" Type="http://schemas.openxmlformats.org/officeDocument/2006/relationships/hyperlink" Target="https://untappd.com/b/selfmade-brewery-druids-elixir/6430975" TargetMode="External"/><Relationship Id="rId163" Type="http://schemas.openxmlformats.org/officeDocument/2006/relationships/hyperlink" Target="https://untappd.com/b/boxing-wizard-brewery-maythorn/4896655" TargetMode="External"/><Relationship Id="rId284" Type="http://schemas.openxmlformats.org/officeDocument/2006/relationships/hyperlink" Target="https://untappd.com/b/selfmade-brewery-deathspeaker/6335213" TargetMode="External"/><Relationship Id="rId162" Type="http://schemas.openxmlformats.org/officeDocument/2006/relationships/hyperlink" Target="https://untappd.com/b/boxing-wizard-brewery-jackeen/5019613" TargetMode="External"/><Relationship Id="rId283" Type="http://schemas.openxmlformats.org/officeDocument/2006/relationships/hyperlink" Target="https://untappd.com/b/selfmade-brewery-ceremony/4080449" TargetMode="External"/><Relationship Id="rId169" Type="http://schemas.openxmlformats.org/officeDocument/2006/relationships/hyperlink" Target="https://untappd.com/b/dieta-dieta-desert-v-tvoem-bokale/6290811" TargetMode="External"/><Relationship Id="rId168" Type="http://schemas.openxmlformats.org/officeDocument/2006/relationships/hyperlink" Target="https://untappd.com/b/dieta-dieta-v-sobstvennom-soku-klyukva/6211448" TargetMode="External"/><Relationship Id="rId289" Type="http://schemas.openxmlformats.org/officeDocument/2006/relationships/hyperlink" Target="https://untappd.com/b/selfmade-brewery-fruitality/2688207" TargetMode="External"/><Relationship Id="rId167" Type="http://schemas.openxmlformats.org/officeDocument/2006/relationships/hyperlink" Target="https://untappd.com/b/dieta-dieta-v-sobstvennom-soku-vishnya/5423610" TargetMode="External"/><Relationship Id="rId288" Type="http://schemas.openxmlformats.org/officeDocument/2006/relationships/hyperlink" Target="https://untappd.com/b/selfmade-brewery-fire-hazard/4473293" TargetMode="External"/><Relationship Id="rId166" Type="http://schemas.openxmlformats.org/officeDocument/2006/relationships/hyperlink" Target="https://untappd.com/b/boxing-wizard-brewery-suckin-diesel-hell/5774322" TargetMode="External"/><Relationship Id="rId287" Type="http://schemas.openxmlformats.org/officeDocument/2006/relationships/hyperlink" Target="https://untappd.com/b/selfmade-brewery-evolve-morph-7/6343554" TargetMode="External"/><Relationship Id="rId161" Type="http://schemas.openxmlformats.org/officeDocument/2006/relationships/hyperlink" Target="https://untappd.com/b/boxing-wizard-brewery-irish-wolf/5168629" TargetMode="External"/><Relationship Id="rId282" Type="http://schemas.openxmlformats.org/officeDocument/2006/relationships/hyperlink" Target="https://untappd.com/b/selfmade-brewery-bright-queen/5193587" TargetMode="External"/><Relationship Id="rId160" Type="http://schemas.openxmlformats.org/officeDocument/2006/relationships/hyperlink" Target="https://untappd.com/b/boxing-wizard-brewery-dogmatic/6202603" TargetMode="External"/><Relationship Id="rId281" Type="http://schemas.openxmlformats.org/officeDocument/2006/relationships/hyperlink" Target="https://untappd.com/b/selfmade-brewery-arcane-gleam/6446131" TargetMode="External"/><Relationship Id="rId280" Type="http://schemas.openxmlformats.org/officeDocument/2006/relationships/hyperlink" Target="https://untappd.com/b/red-rocket-brewery-where-is-my-wind/6356326" TargetMode="External"/><Relationship Id="rId159" Type="http://schemas.openxmlformats.org/officeDocument/2006/relationships/hyperlink" Target="https://untappd.com/b/boxing-wizard-brewery-conwy-castle/5283170" TargetMode="External"/><Relationship Id="rId154" Type="http://schemas.openxmlformats.org/officeDocument/2006/relationships/hyperlink" Target="https://untappd.com/b/big-village-brewery-winds-of-fear/6348058" TargetMode="External"/><Relationship Id="rId275" Type="http://schemas.openxmlformats.org/officeDocument/2006/relationships/hyperlink" Target="https://untappd.com/b/red-rocket-brewery-krasnie-mokasiny/6332072" TargetMode="External"/><Relationship Id="rId153" Type="http://schemas.openxmlformats.org/officeDocument/2006/relationships/hyperlink" Target="https://untappd.com/b/big-village-brewery-who-is-here/6239246" TargetMode="External"/><Relationship Id="rId274" Type="http://schemas.openxmlformats.org/officeDocument/2006/relationships/hyperlink" Target="https://untappd.com/b/red-rocket-brewery-kolsch/6332075" TargetMode="External"/><Relationship Id="rId395" Type="http://schemas.openxmlformats.org/officeDocument/2006/relationships/drawing" Target="../drawings/drawing1.xml"/><Relationship Id="rId152" Type="http://schemas.openxmlformats.org/officeDocument/2006/relationships/hyperlink" Target="https://untappd.com/b/big-village-brewery-village-stout/6430158" TargetMode="External"/><Relationship Id="rId273" Type="http://schemas.openxmlformats.org/officeDocument/2006/relationships/hyperlink" Target="https://untappd.com/b/red-rocket-brewery-kodama/6308903" TargetMode="External"/><Relationship Id="rId394" Type="http://schemas.openxmlformats.org/officeDocument/2006/relationships/hyperlink" Target="https://untappd.com/b/zagovor-brewery-volan/6431165" TargetMode="External"/><Relationship Id="rId151" Type="http://schemas.openxmlformats.org/officeDocument/2006/relationships/hyperlink" Target="https://untappd.com/b/big-village-brewery-tiny-love/6446206" TargetMode="External"/><Relationship Id="rId272" Type="http://schemas.openxmlformats.org/officeDocument/2006/relationships/hyperlink" Target="https://untappd.com/b/red-rocket-brewery-kellerbier/6316013" TargetMode="External"/><Relationship Id="rId393" Type="http://schemas.openxmlformats.org/officeDocument/2006/relationships/hyperlink" Target="https://untappd.com/b/zagovor-brewery-trafaret/2471178" TargetMode="External"/><Relationship Id="rId158" Type="http://schemas.openxmlformats.org/officeDocument/2006/relationships/hyperlink" Target="https://untappd.com/b/boxing-wizard-brewery-braw-chuchter/5229408" TargetMode="External"/><Relationship Id="rId279" Type="http://schemas.openxmlformats.org/officeDocument/2006/relationships/hyperlink" Target="https://untappd.com/b/red-rocket-brewery-we-took-a-photo-for-this-collab-a-year-and-a-half-ago/6308905" TargetMode="External"/><Relationship Id="rId157" Type="http://schemas.openxmlformats.org/officeDocument/2006/relationships/hyperlink" Target="https://untappd.com/b/boxing-wizard-brewery-banshee/5588464" TargetMode="External"/><Relationship Id="rId278" Type="http://schemas.openxmlformats.org/officeDocument/2006/relationships/hyperlink" Target="https://untappd.com/b/red-rocket-brewery-transistor/6440850" TargetMode="External"/><Relationship Id="rId156" Type="http://schemas.openxmlformats.org/officeDocument/2006/relationships/hyperlink" Target="https://untappd.com/b/lyubovcev-vtoroe-dyhanie/6266119" TargetMode="External"/><Relationship Id="rId277" Type="http://schemas.openxmlformats.org/officeDocument/2006/relationships/hyperlink" Target="https://untappd.com/b/red-rocket-brewery-dry-stout/6046324" TargetMode="External"/><Relationship Id="rId155" Type="http://schemas.openxmlformats.org/officeDocument/2006/relationships/hyperlink" Target="https://untappd.com/b/lyubovcev-vstrecha/6266131" TargetMode="External"/><Relationship Id="rId276" Type="http://schemas.openxmlformats.org/officeDocument/2006/relationships/hyperlink" Target="https://untappd.com/b/red-rocket-brewery-perennial-quest/6239157" TargetMode="External"/><Relationship Id="rId40" Type="http://schemas.openxmlformats.org/officeDocument/2006/relationships/hyperlink" Target="https://untappd.com/b/pivovarnya-odna-tonna-odna-tonna-brewery-luna-park-persik-mango-apelsin/6155088" TargetMode="External"/><Relationship Id="rId42" Type="http://schemas.openxmlformats.org/officeDocument/2006/relationships/hyperlink" Target="https://untappd.com/b/pivovarnya-odna-tonna-odna-tonna-brewery-schukowski-pils-zhukovskij-pils/6349817" TargetMode="External"/><Relationship Id="rId41" Type="http://schemas.openxmlformats.org/officeDocument/2006/relationships/hyperlink" Target="https://untappd.com/b/pivovarnya-odna-tonna-odna-tonna-brewery-mr-golding-mister-golding/443181" TargetMode="External"/><Relationship Id="rId44" Type="http://schemas.openxmlformats.org/officeDocument/2006/relationships/hyperlink" Target="https://untappd.com/b/sidrodelnya-leonida-levrana-suhoj-2023/5949954" TargetMode="External"/><Relationship Id="rId43" Type="http://schemas.openxmlformats.org/officeDocument/2006/relationships/hyperlink" Target="https://untappd.com/b/pivovarnya-odna-tonna-odna-tonna-brewery-zukovskij-lezak-zhukovskij-lezhak/6071657" TargetMode="External"/><Relationship Id="rId46" Type="http://schemas.openxmlformats.org/officeDocument/2006/relationships/hyperlink" Target="https://untappd.com/b/sidrodelnya-leonida-levrana-pskovskij-terruar-2023/5986172" TargetMode="External"/><Relationship Id="rId45" Type="http://schemas.openxmlformats.org/officeDocument/2006/relationships/hyperlink" Target="https://untappd.com/b/sidrodelnya-leonida-levrana-suhoj-2023/5949954" TargetMode="External"/><Relationship Id="rId48" Type="http://schemas.openxmlformats.org/officeDocument/2006/relationships/hyperlink" Target="https://untappd.com/b/sidrodelnya-leonida-levrana-862/6070777" TargetMode="External"/><Relationship Id="rId47" Type="http://schemas.openxmlformats.org/officeDocument/2006/relationships/hyperlink" Target="https://untappd.com/b/sidrodelnya-leonida-levrana-pskovskij-terruar-2023/5986172" TargetMode="External"/><Relationship Id="rId49" Type="http://schemas.openxmlformats.org/officeDocument/2006/relationships/hyperlink" Target="https://untappd.com/b/sidrodelnya-leonida-levrana-862/6070777" TargetMode="External"/><Relationship Id="rId31" Type="http://schemas.openxmlformats.org/officeDocument/2006/relationships/hyperlink" Target="https://untappd.com/b/pivovarnya-odna-tonna-odna-tonna-brewery-selestial-strata-citra-mosaic/6413968" TargetMode="External"/><Relationship Id="rId30" Type="http://schemas.openxmlformats.org/officeDocument/2006/relationships/hyperlink" Target="https://untappd.com/b/pivovarnya-odna-tonna-odna-tonna-brewery-ryzhaya-sonya-red-sonya/1318227" TargetMode="External"/><Relationship Id="rId33" Type="http://schemas.openxmlformats.org/officeDocument/2006/relationships/hyperlink" Target="https://untappd.com/b/pivovarnya-odna-tonna-odna-tonna-brewery-ebru-chernaya-smorodina-malina-granat-aroniya/6214703" TargetMode="External"/><Relationship Id="rId32" Type="http://schemas.openxmlformats.org/officeDocument/2006/relationships/hyperlink" Target="https://untappd.com/b/pivovarnya-odna-tonna-odna-tonna-brewery-utro-tumannoe/3218787" TargetMode="External"/><Relationship Id="rId35" Type="http://schemas.openxmlformats.org/officeDocument/2006/relationships/hyperlink" Target="https://untappd.com/b/pivovarnya-odna-tonna-odna-tonna-brewery-honeypot-vishnya/4331754" TargetMode="External"/><Relationship Id="rId34" Type="http://schemas.openxmlformats.org/officeDocument/2006/relationships/hyperlink" Target="https://untappd.com/b/pivovarnya-odna-tonna-odna-tonna-brewery-desitka-zhukovskaya-desitka/6227826" TargetMode="External"/><Relationship Id="rId37" Type="http://schemas.openxmlformats.org/officeDocument/2006/relationships/hyperlink" Target="https://untappd.com/b/pivovarnya-odna-tonna-odna-tonna-brewery-hyperpink-citra-cryo-krush-motueka/6273932" TargetMode="External"/><Relationship Id="rId36" Type="http://schemas.openxmlformats.org/officeDocument/2006/relationships/hyperlink" Target="https://untappd.com/b/pivovarnya-odna-tonna-odna-tonna-brewery-honeypot-chernaya-smorodina/4072523" TargetMode="External"/><Relationship Id="rId39" Type="http://schemas.openxmlformats.org/officeDocument/2006/relationships/hyperlink" Target="https://untappd.com/b/pivovarnya-odna-tonna-odna-tonna-brewery-luna-park-mango-grejpfrut-apelsin/6155087" TargetMode="External"/><Relationship Id="rId38" Type="http://schemas.openxmlformats.org/officeDocument/2006/relationships/hyperlink" Target="https://untappd.com/b/pivovarnya-odna-tonna-odna-tonna-brewery-luna-park-apelsin-grejpfrut-persik/6155090" TargetMode="External"/><Relationship Id="rId20" Type="http://schemas.openxmlformats.org/officeDocument/2006/relationships/hyperlink" Target="https://untappd.com/b/siberian-meadery-medovarnya-meda-sibiri-mead-cyser/4866071" TargetMode="External"/><Relationship Id="rId22" Type="http://schemas.openxmlformats.org/officeDocument/2006/relationships/hyperlink" Target="https://untappd.com/b/siberian-meadery-medovarnya-meda-sibiri-mead-mango-shili/5302744" TargetMode="External"/><Relationship Id="rId21" Type="http://schemas.openxmlformats.org/officeDocument/2006/relationships/hyperlink" Target="https://untappd.com/b/siberian-meadery-medovarnya-meda-sibiri-mead-honeysuckle/4985641" TargetMode="External"/><Relationship Id="rId24" Type="http://schemas.openxmlformats.org/officeDocument/2006/relationships/hyperlink" Target="https://untappd.com/b/siberian-meadery-medovarnya-meda-sibiri-mead-traditional/4866076" TargetMode="External"/><Relationship Id="rId23" Type="http://schemas.openxmlformats.org/officeDocument/2006/relationships/hyperlink" Target="https://untappd.com/b/siberian-meadery-medovarnya-meda-sibiri-mead-sea-buckthorn/4866078" TargetMode="External"/><Relationship Id="rId26" Type="http://schemas.openxmlformats.org/officeDocument/2006/relationships/hyperlink" Target="https://untappd.com/b/siberian-meadery-medovarnya-meda-sibiri-quince-and-dogwood-mead-ajva-kizil/5910238" TargetMode="External"/><Relationship Id="rId25" Type="http://schemas.openxmlformats.org/officeDocument/2006/relationships/hyperlink" Target="https://untappd.com/b/siberian-meadery-medovarnya-meda-sibiri-pomegranate-and-hibiscus-bochet/5625311" TargetMode="External"/><Relationship Id="rId28" Type="http://schemas.openxmlformats.org/officeDocument/2006/relationships/hyperlink" Target="https://untappd.com/b/siberian-meadery-medovarnya-meda-sibiri-strawberry-and-banana-pie-mead/6071526" TargetMode="External"/><Relationship Id="rId27" Type="http://schemas.openxmlformats.org/officeDocument/2006/relationships/hyperlink" Target="https://untappd.com/b/siberian-meadery-medovarnya-meda-sibiri-raspberry-lime-mint-mead/5910240" TargetMode="External"/><Relationship Id="rId29" Type="http://schemas.openxmlformats.org/officeDocument/2006/relationships/hyperlink" Target="https://untappd.com/b/pivovarnya-odna-tonna-odna-tonna-brewery-otlichnyj-urozhaj-i-p-a-fu-ing-perfect-harvest/552706" TargetMode="External"/><Relationship Id="rId11" Type="http://schemas.openxmlformats.org/officeDocument/2006/relationships/hyperlink" Target="https://untappd.com/b/kolomenskaya-pivovarnya-starovar-weizen/4164670" TargetMode="External"/><Relationship Id="rId10" Type="http://schemas.openxmlformats.org/officeDocument/2006/relationships/hyperlink" Target="https://untappd.com/b/kolomenskaya-pivovarnya-starovar-prazsky-lezak/4164666" TargetMode="External"/><Relationship Id="rId13" Type="http://schemas.openxmlformats.org/officeDocument/2006/relationships/hyperlink" Target="https://untappd.com/b/siberian-meadery-medovarnya-meda-sibiri-medovyj-plombir-s-malinoj/5336909" TargetMode="External"/><Relationship Id="rId12" Type="http://schemas.openxmlformats.org/officeDocument/2006/relationships/hyperlink" Target="https://untappd.com/b/siberian-meadery-medovarnya-meda-sibiri-medovyj-plombir-s-klyukvoj/5336928" TargetMode="External"/><Relationship Id="rId15" Type="http://schemas.openxmlformats.org/officeDocument/2006/relationships/hyperlink" Target="https://untappd.com/b/siberian-meadery-medovarnya-meda-sibiri-apple-cherry-punch-mead-punsh-yabloko-vishnya/5713220" TargetMode="External"/><Relationship Id="rId14" Type="http://schemas.openxmlformats.org/officeDocument/2006/relationships/hyperlink" Target="https://untappd.com/b/siberian-meadery-medovarnya-meda-sibiri-medovyj-plombir-s-chernoj-smorodinoj-i-guanabanoj/5623295" TargetMode="External"/><Relationship Id="rId17" Type="http://schemas.openxmlformats.org/officeDocument/2006/relationships/hyperlink" Target="https://untappd.com/b/siberian-meadery-medovarnya-meda-sibiri-cowberry-bochet/6142135" TargetMode="External"/><Relationship Id="rId16" Type="http://schemas.openxmlformats.org/officeDocument/2006/relationships/hyperlink" Target="https://untappd.com/b/siberian-meadery-medovarnya-meda-sibiri-apricot-mead/5882173" TargetMode="External"/><Relationship Id="rId19" Type="http://schemas.openxmlformats.org/officeDocument/2006/relationships/hyperlink" Target="https://untappd.com/b/siberian-meadery-medovarnya-meda-sibiri-mead-citrus/5149664" TargetMode="External"/><Relationship Id="rId18" Type="http://schemas.openxmlformats.org/officeDocument/2006/relationships/hyperlink" Target="https://untappd.com/b/siberian-meadery-medovarnya-meda-sibiri-mead-cherry/4866074" TargetMode="External"/><Relationship Id="rId84" Type="http://schemas.openxmlformats.org/officeDocument/2006/relationships/hyperlink" Target="https://untappd.com/b/4brewers-rassol-diko-zol/5521831" TargetMode="External"/><Relationship Id="rId83" Type="http://schemas.openxmlformats.org/officeDocument/2006/relationships/hyperlink" Target="https://untappd.com/b/4brewers-nezhnost/5846046" TargetMode="External"/><Relationship Id="rId86" Type="http://schemas.openxmlformats.org/officeDocument/2006/relationships/hyperlink" Target="https://untappd.com/b/4brewers-super-ego/5311384" TargetMode="External"/><Relationship Id="rId85" Type="http://schemas.openxmlformats.org/officeDocument/2006/relationships/hyperlink" Target="https://untappd.com/b/4brewers-stihiya/5863849" TargetMode="External"/><Relationship Id="rId88" Type="http://schemas.openxmlformats.org/officeDocument/2006/relationships/hyperlink" Target="https://untappd.com/b/4brewers-cheshskaya-desitka/6350935" TargetMode="External"/><Relationship Id="rId87" Type="http://schemas.openxmlformats.org/officeDocument/2006/relationships/hyperlink" Target="https://untappd.com/b/4brewers-tom-yam-master-dram/5704133" TargetMode="External"/><Relationship Id="rId89" Type="http://schemas.openxmlformats.org/officeDocument/2006/relationships/hyperlink" Target="https://untappd.com/b/4brewers-kiss-my-soul/5171196" TargetMode="External"/><Relationship Id="rId80" Type="http://schemas.openxmlformats.org/officeDocument/2006/relationships/hyperlink" Target="https://untappd.com/b/4brewers-kislota-grapefruit/5899972" TargetMode="External"/><Relationship Id="rId82" Type="http://schemas.openxmlformats.org/officeDocument/2006/relationships/hyperlink" Target="https://untappd.com/b/4brewers-ne-krichi-na-kimchi/5171197" TargetMode="External"/><Relationship Id="rId81" Type="http://schemas.openxmlformats.org/officeDocument/2006/relationships/hyperlink" Target="https://untappd.com/b/4brewers-macho-gaspacho/6155144" TargetMode="External"/><Relationship Id="rId73" Type="http://schemas.openxmlformats.org/officeDocument/2006/relationships/hyperlink" Target="https://untappd.com/b/4brewers-vygoranie/5613069" TargetMode="External"/><Relationship Id="rId72" Type="http://schemas.openxmlformats.org/officeDocument/2006/relationships/hyperlink" Target="https://untappd.com/b/4brewers-chetyre-pivovara-vtoraya-lichnost/2016091" TargetMode="External"/><Relationship Id="rId75" Type="http://schemas.openxmlformats.org/officeDocument/2006/relationships/hyperlink" Target="https://untappd.com/b/4brewers-zavisimost/2913906" TargetMode="External"/><Relationship Id="rId74" Type="http://schemas.openxmlformats.org/officeDocument/2006/relationships/hyperlink" Target="https://untappd.com/b/4brewers-za-lisichki-poyasnyaem-v-lichke/6454688" TargetMode="External"/><Relationship Id="rId77" Type="http://schemas.openxmlformats.org/officeDocument/2006/relationships/hyperlink" Target="https://untappd.com/b/4brewers-zavisimost-kinza/4919630" TargetMode="External"/><Relationship Id="rId76" Type="http://schemas.openxmlformats.org/officeDocument/2006/relationships/hyperlink" Target="https://untappd.com/b/4brewers-zavisimost-bazilik/4940897" TargetMode="External"/><Relationship Id="rId79" Type="http://schemas.openxmlformats.org/officeDocument/2006/relationships/hyperlink" Target="https://untappd.com/b/4brewers-zavisimost-chyornyj-perec/6004027" TargetMode="External"/><Relationship Id="rId78" Type="http://schemas.openxmlformats.org/officeDocument/2006/relationships/hyperlink" Target="https://untappd.com/b/4brewers-zavisimost-kopchenaya/6438575" TargetMode="External"/><Relationship Id="rId71" Type="http://schemas.openxmlformats.org/officeDocument/2006/relationships/hyperlink" Target="https://untappd.com/b/4brewers-adzhika-mnogolika/5596172" TargetMode="External"/><Relationship Id="rId70" Type="http://schemas.openxmlformats.org/officeDocument/2006/relationships/hyperlink" Target="https://untappd.com/b/4brewers-addikciya/5745484" TargetMode="External"/><Relationship Id="rId62" Type="http://schemas.openxmlformats.org/officeDocument/2006/relationships/hyperlink" Target="https://untappd.com/b/pivovarnya-chasha-thicket-brewery-son-masala-christmas-edition/4637336" TargetMode="External"/><Relationship Id="rId61" Type="http://schemas.openxmlformats.org/officeDocument/2006/relationships/hyperlink" Target="https://untappd.com/b/pivovarnya-chasha-thicket-brewery-koroleva-pentaklej-queen-of-pentacles/6213377" TargetMode="External"/><Relationship Id="rId64" Type="http://schemas.openxmlformats.org/officeDocument/2006/relationships/hyperlink" Target="https://untappd.com/b/pivovarnya-chasha-thicket-brewery-totem-medved-bear-totem/6332780" TargetMode="External"/><Relationship Id="rId63" Type="http://schemas.openxmlformats.org/officeDocument/2006/relationships/hyperlink" Target="https://untappd.com/b/pivovarnya-chasha-thicket-brewery-totem-ekuanot-simcoe-idaho-7/6157342" TargetMode="External"/><Relationship Id="rId66" Type="http://schemas.openxmlformats.org/officeDocument/2006/relationships/hyperlink" Target="https://untappd.com/b/2-barrels-brewery-bananovye-mozgi/6397591" TargetMode="External"/><Relationship Id="rId65" Type="http://schemas.openxmlformats.org/officeDocument/2006/relationships/hyperlink" Target="https://untappd.com/b/pivovarnya-chasha-thicket-brewery-cambridge-music/6382197" TargetMode="External"/><Relationship Id="rId68" Type="http://schemas.openxmlformats.org/officeDocument/2006/relationships/hyperlink" Target="https://untappd.com/b/2-barrels-brewery-ipacalypse-now/6383608" TargetMode="External"/><Relationship Id="rId67" Type="http://schemas.openxmlformats.org/officeDocument/2006/relationships/hyperlink" Target="https://untappd.com/b/brew-garage-78-don-mazilic/4500322" TargetMode="External"/><Relationship Id="rId60" Type="http://schemas.openxmlformats.org/officeDocument/2006/relationships/hyperlink" Target="https://untappd.com/b/pivovarnya-chasha-thicket-brewery-disleksiya-dyslexia/6265313" TargetMode="External"/><Relationship Id="rId69" Type="http://schemas.openxmlformats.org/officeDocument/2006/relationships/hyperlink" Target="https://untappd.com/b/2-barrels-brewery-staroparkala/5982648" TargetMode="External"/><Relationship Id="rId51" Type="http://schemas.openxmlformats.org/officeDocument/2006/relationships/hyperlink" Target="https://untappd.com/b/sidrodelnya-leonida-levrana-organicheskij-tradicionnyj/6377255" TargetMode="External"/><Relationship Id="rId50" Type="http://schemas.openxmlformats.org/officeDocument/2006/relationships/hyperlink" Target="https://untappd.com/b/sidrodelnya-leonida-levrana-puare-2024/6223399" TargetMode="External"/><Relationship Id="rId53" Type="http://schemas.openxmlformats.org/officeDocument/2006/relationships/hyperlink" Target="https://untappd.com/b/sidrodelnya-leonida-levrana-reven/6070765" TargetMode="External"/><Relationship Id="rId52" Type="http://schemas.openxmlformats.org/officeDocument/2006/relationships/hyperlink" Target="https://untappd.com/b/sidrodelnya-leonida-levrana-organicheskij-tradicionnyj/6377255" TargetMode="External"/><Relationship Id="rId55" Type="http://schemas.openxmlformats.org/officeDocument/2006/relationships/hyperlink" Target="https://untappd.com/b/sidrodelnya-leonida-levrana-hop-me/6070796" TargetMode="External"/><Relationship Id="rId54" Type="http://schemas.openxmlformats.org/officeDocument/2006/relationships/hyperlink" Target="https://untappd.com/b/sidrodelnya-leonida-levrana-hop-me/6070796" TargetMode="External"/><Relationship Id="rId57" Type="http://schemas.openxmlformats.org/officeDocument/2006/relationships/hyperlink" Target="https://untappd.com/b/sidrodelnya-leonida-levrana-hop-me/6223395" TargetMode="External"/><Relationship Id="rId56" Type="http://schemas.openxmlformats.org/officeDocument/2006/relationships/hyperlink" Target="https://untappd.com/b/sidrodelnya-leonida-levrana-hop-me/6223395" TargetMode="External"/><Relationship Id="rId59" Type="http://schemas.openxmlformats.org/officeDocument/2006/relationships/hyperlink" Target="https://untappd.com/b/pivovarnya-chasha-thicket-brewery-dzen-i-iskusstvo-uhoda-za-citrusami-zen-and-the-art-of-citrus-care/6392075" TargetMode="External"/><Relationship Id="rId58" Type="http://schemas.openxmlformats.org/officeDocument/2006/relationships/hyperlink" Target="https://untappd.com/b/pivovarnya-chasha-thicket-brewery-dzen-i-iskusstvo-uhoda-za-kalamansi-zen-and-the-art-of-calamansi-care/6400001" TargetMode="External"/><Relationship Id="rId107" Type="http://schemas.openxmlformats.org/officeDocument/2006/relationships/hyperlink" Target="https://untappd.com/b/atmosphere-brewery-psihodelicheskij-trip/5040702" TargetMode="External"/><Relationship Id="rId228" Type="http://schemas.openxmlformats.org/officeDocument/2006/relationships/hyperlink" Target="https://untappd.com/b/ostrovica-holy-dipa/1962051" TargetMode="External"/><Relationship Id="rId349" Type="http://schemas.openxmlformats.org/officeDocument/2006/relationships/hyperlink" Target="https://untappd.com/b/steppe-and-wind-meadery-step-i-veter-lingonberry-rubarb-and-hops-mead/6219019" TargetMode="External"/><Relationship Id="rId106" Type="http://schemas.openxmlformats.org/officeDocument/2006/relationships/hyperlink" Target="https://untappd.com/b/atmosphere-brewery-na-desert-yabloko-korica-pechene/5066521" TargetMode="External"/><Relationship Id="rId227" Type="http://schemas.openxmlformats.org/officeDocument/2006/relationships/hyperlink" Target="https://untappd.com/b/ostrovica-helles/5275645" TargetMode="External"/><Relationship Id="rId348" Type="http://schemas.openxmlformats.org/officeDocument/2006/relationships/hyperlink" Target="https://untappd.com/b/steppe-and-wind-meadery-step-i-veter-juniper-and-basil-tonic-mead/5776656" TargetMode="External"/><Relationship Id="rId105" Type="http://schemas.openxmlformats.org/officeDocument/2006/relationships/hyperlink" Target="https://untappd.com/b/atmosphere-brewery-na-desert-vishnevyj-pirog/5579122" TargetMode="External"/><Relationship Id="rId226" Type="http://schemas.openxmlformats.org/officeDocument/2006/relationships/hyperlink" Target="https://untappd.com/b/ostrovica-gose/4516626" TargetMode="External"/><Relationship Id="rId347" Type="http://schemas.openxmlformats.org/officeDocument/2006/relationships/hyperlink" Target="https://untappd.com/b/steppe-and-wind-meadery-step-i-veter-grapefruit-mead/3470261" TargetMode="External"/><Relationship Id="rId104" Type="http://schemas.openxmlformats.org/officeDocument/2006/relationships/hyperlink" Target="https://untappd.com/b/atmosphere-brewery-na-desert-banan-krasnyj-apelsin-mindal-vanil/5066530" TargetMode="External"/><Relationship Id="rId225" Type="http://schemas.openxmlformats.org/officeDocument/2006/relationships/hyperlink" Target="https://untappd.com/b/ostrovica-fake-plants-guanabana-x-strawberry/6298003" TargetMode="External"/><Relationship Id="rId346" Type="http://schemas.openxmlformats.org/officeDocument/2006/relationships/hyperlink" Target="https://untappd.com/b/steppe-and-wind-meadery-step-i-veter-draft-mead/4318607" TargetMode="External"/><Relationship Id="rId109" Type="http://schemas.openxmlformats.org/officeDocument/2006/relationships/hyperlink" Target="https://untappd.com/b/atmosphere-brewery-tomatnaya-dich/3701697" TargetMode="External"/><Relationship Id="rId108" Type="http://schemas.openxmlformats.org/officeDocument/2006/relationships/hyperlink" Target="https://untappd.com/b/atmosphere-brewery-pylayushaya-dich/4173683" TargetMode="External"/><Relationship Id="rId229" Type="http://schemas.openxmlformats.org/officeDocument/2006/relationships/hyperlink" Target="https://untappd.com/b/ostrovica-ipa/1304151" TargetMode="External"/><Relationship Id="rId220" Type="http://schemas.openxmlformats.org/officeDocument/2006/relationships/hyperlink" Target="https://untappd.com/b/ostrovica-b-day-lager/1591905" TargetMode="External"/><Relationship Id="rId341" Type="http://schemas.openxmlformats.org/officeDocument/2006/relationships/hyperlink" Target="https://untappd.com/b/steppe-and-wind-meadery-step-i-veter-blueberry-and-vanilla-mead-6/3869661" TargetMode="External"/><Relationship Id="rId340" Type="http://schemas.openxmlformats.org/officeDocument/2006/relationships/hyperlink" Target="https://untappd.com/b/steppe-and-wind-meadery-step-i-veter-blueberry-and-hops-mead/5776652" TargetMode="External"/><Relationship Id="rId103" Type="http://schemas.openxmlformats.org/officeDocument/2006/relationships/hyperlink" Target="https://untappd.com/b/atmosphere-brewery-na-desert-banan-klubnika-vanil/5274054" TargetMode="External"/><Relationship Id="rId224" Type="http://schemas.openxmlformats.org/officeDocument/2006/relationships/hyperlink" Target="https://untappd.com/b/ostrovica-fake-plants-w-blueberry-raspberry-and-bergamot/5748125" TargetMode="External"/><Relationship Id="rId345" Type="http://schemas.openxmlformats.org/officeDocument/2006/relationships/hyperlink" Target="https://untappd.com/b/steppe-and-wind-meadery-step-i-veter-dogwood-lemongrass-mead/6264981" TargetMode="External"/><Relationship Id="rId102" Type="http://schemas.openxmlformats.org/officeDocument/2006/relationships/hyperlink" Target="https://untappd.com/b/atmosphere-brewery-letnij-vajb-chernaya-smorodina/5428722" TargetMode="External"/><Relationship Id="rId223" Type="http://schemas.openxmlformats.org/officeDocument/2006/relationships/hyperlink" Target="https://untappd.com/b/ostrovica-dry-stout/6199912" TargetMode="External"/><Relationship Id="rId344" Type="http://schemas.openxmlformats.org/officeDocument/2006/relationships/hyperlink" Target="https://untappd.com/b/steppe-and-wind-meadery-step-i-veter-cherry-nuts-mead/6158454" TargetMode="External"/><Relationship Id="rId101" Type="http://schemas.openxmlformats.org/officeDocument/2006/relationships/hyperlink" Target="https://untappd.com/b/atmosphere-brewery-letnij-vajb-malina/5428720" TargetMode="External"/><Relationship Id="rId222" Type="http://schemas.openxmlformats.org/officeDocument/2006/relationships/hyperlink" Target="https://untappd.com/b/ostrovica-everyday-clown/5128520" TargetMode="External"/><Relationship Id="rId343" Type="http://schemas.openxmlformats.org/officeDocument/2006/relationships/hyperlink" Target="https://untappd.com/b/steppe-and-wind-meadery-step-i-veter-cherry-mead/2586109" TargetMode="External"/><Relationship Id="rId100" Type="http://schemas.openxmlformats.org/officeDocument/2006/relationships/hyperlink" Target="https://untappd.com/b/atmosphere-brewery-kislyj-dvizh/4588361" TargetMode="External"/><Relationship Id="rId221" Type="http://schemas.openxmlformats.org/officeDocument/2006/relationships/hyperlink" Target="https://untappd.com/b/ostrovica-birthday-boy/6254481" TargetMode="External"/><Relationship Id="rId342" Type="http://schemas.openxmlformats.org/officeDocument/2006/relationships/hyperlink" Target="https://untappd.com/b/steppe-and-wind-meadery-step-i-veter-calamansi-bochet/6091107" TargetMode="External"/><Relationship Id="rId217" Type="http://schemas.openxmlformats.org/officeDocument/2006/relationships/hyperlink" Target="https://untappd.com/b/on-the-bones-contract-brewery-cheri-cheri-lady-collab-af-brew/6309183" TargetMode="External"/><Relationship Id="rId338" Type="http://schemas.openxmlformats.org/officeDocument/2006/relationships/hyperlink" Target="https://untappd.com/b/steppe-and-wind-meadery-step-i-veter-black-currant-mead/2552489" TargetMode="External"/><Relationship Id="rId216" Type="http://schemas.openxmlformats.org/officeDocument/2006/relationships/hyperlink" Target="https://untappd.com/b/on-the-bones-contract-brewery-toksovskij-tramplin/1405111" TargetMode="External"/><Relationship Id="rId337" Type="http://schemas.openxmlformats.org/officeDocument/2006/relationships/hyperlink" Target="https://untappd.com/b/steppe-and-wind-meadery-step-i-veter-apricot-mead/5070663" TargetMode="External"/><Relationship Id="rId215" Type="http://schemas.openxmlformats.org/officeDocument/2006/relationships/hyperlink" Target="https://untappd.com/b/on-the-bones-contract-brewery-sannyj-sport/4137399" TargetMode="External"/><Relationship Id="rId336" Type="http://schemas.openxmlformats.org/officeDocument/2006/relationships/hyperlink" Target="https://untappd.com/b/steppe-and-wind-meadery-step-i-veter-bezopasnyj-grejpfrut/6180665" TargetMode="External"/><Relationship Id="rId214" Type="http://schemas.openxmlformats.org/officeDocument/2006/relationships/hyperlink" Target="https://untappd.com/b/on-the-bones-contract-brewery-laska-nerpy/1860632" TargetMode="External"/><Relationship Id="rId335" Type="http://schemas.openxmlformats.org/officeDocument/2006/relationships/hyperlink" Target="https://untappd.com/b/stamm-brewing-your-young-lordship/4174764" TargetMode="External"/><Relationship Id="rId219" Type="http://schemas.openxmlformats.org/officeDocument/2006/relationships/hyperlink" Target="https://untappd.com/b/on-the-bones-contract-brewery-strawberry-lips/6230649" TargetMode="External"/><Relationship Id="rId218" Type="http://schemas.openxmlformats.org/officeDocument/2006/relationships/hyperlink" Target="https://untappd.com/b/on-the-bones-contract-brewery-salt-mate/4245522" TargetMode="External"/><Relationship Id="rId339" Type="http://schemas.openxmlformats.org/officeDocument/2006/relationships/hyperlink" Target="https://untappd.com/b/steppe-and-wind-meadery-step-i-veter-blackberry-mead/2552482" TargetMode="External"/><Relationship Id="rId330" Type="http://schemas.openxmlformats.org/officeDocument/2006/relationships/hyperlink" Target="https://untappd.com/b/stamm-brewing-sour-passion-party/1432017" TargetMode="External"/><Relationship Id="rId213" Type="http://schemas.openxmlformats.org/officeDocument/2006/relationships/hyperlink" Target="https://untappd.com/b/on-the-bones-contract-brewery-glavnoe-uchastie-collab-dieta/6407064" TargetMode="External"/><Relationship Id="rId334" Type="http://schemas.openxmlformats.org/officeDocument/2006/relationships/hyperlink" Target="https://untappd.com/b/stamm-brewing-your-freak-lordship/5458594" TargetMode="External"/><Relationship Id="rId212" Type="http://schemas.openxmlformats.org/officeDocument/2006/relationships/hyperlink" Target="https://untappd.com/b/magic-mess-ptichij-korob/6373467" TargetMode="External"/><Relationship Id="rId333" Type="http://schemas.openxmlformats.org/officeDocument/2006/relationships/hyperlink" Target="https://untappd.com/b/stamm-brewing-waka/6389593" TargetMode="External"/><Relationship Id="rId211" Type="http://schemas.openxmlformats.org/officeDocument/2006/relationships/hyperlink" Target="https://untappd.com/b/mantra-yogurt-apricot/6246286" TargetMode="External"/><Relationship Id="rId332" Type="http://schemas.openxmlformats.org/officeDocument/2006/relationships/hyperlink" Target="https://untappd.com/b/stamm-brewing-strassenbahn-dunkelweizen/6246733" TargetMode="External"/><Relationship Id="rId210" Type="http://schemas.openxmlformats.org/officeDocument/2006/relationships/hyperlink" Target="https://untappd.com/b/mantra-waffle-shuffle-mango-grape-and-toffee/6366636" TargetMode="External"/><Relationship Id="rId331" Type="http://schemas.openxmlformats.org/officeDocument/2006/relationships/hyperlink" Target="https://untappd.com/b/stamm-brewing-strassenbahn/4597639" TargetMode="External"/><Relationship Id="rId370" Type="http://schemas.openxmlformats.org/officeDocument/2006/relationships/hyperlink" Target="https://untappd.com/b/toksovo-cidrerie-toksovskaya-sidreriya-lyubov-i-reven/6236284" TargetMode="External"/><Relationship Id="rId129" Type="http://schemas.openxmlformats.org/officeDocument/2006/relationships/hyperlink" Target="https://untappd.com/b/big-pot-birds-guava-and-kiwi-and-raspberry-and-pineapple/6365828" TargetMode="External"/><Relationship Id="rId128" Type="http://schemas.openxmlformats.org/officeDocument/2006/relationships/hyperlink" Target="https://untappd.com/b/big-pot-big-clash/6237046" TargetMode="External"/><Relationship Id="rId249" Type="http://schemas.openxmlformats.org/officeDocument/2006/relationships/hyperlink" Target="https://untappd.com/b/red-button-brewery-kuts-estragon-batch/6348503" TargetMode="External"/><Relationship Id="rId127" Type="http://schemas.openxmlformats.org/officeDocument/2006/relationships/hyperlink" Target="https://untappd.com/b/big-pot-smuzikalnaya-pauza/5855362" TargetMode="External"/><Relationship Id="rId248" Type="http://schemas.openxmlformats.org/officeDocument/2006/relationships/hyperlink" Target="https://untappd.com/b/red-button-brewery-king-helle-dry-hop-batch/6123632" TargetMode="External"/><Relationship Id="rId369" Type="http://schemas.openxmlformats.org/officeDocument/2006/relationships/hyperlink" Target="https://untappd.com/b/time-bomb-brewery-headshrinker/6141563" TargetMode="External"/><Relationship Id="rId126" Type="http://schemas.openxmlformats.org/officeDocument/2006/relationships/hyperlink" Target="https://untappd.com/b/big-pot-romashka/5712327" TargetMode="External"/><Relationship Id="rId247" Type="http://schemas.openxmlformats.org/officeDocument/2006/relationships/hyperlink" Target="https://untappd.com/b/red-button-brewery-fondue-fountain/3030936" TargetMode="External"/><Relationship Id="rId368" Type="http://schemas.openxmlformats.org/officeDocument/2006/relationships/hyperlink" Target="https://untappd.com/b/time-bomb-brewery-parsek/6211064" TargetMode="External"/><Relationship Id="rId121" Type="http://schemas.openxmlformats.org/officeDocument/2006/relationships/hyperlink" Target="https://untappd.com/b/atmosphere-brewery-tropical-mix/5486939" TargetMode="External"/><Relationship Id="rId242" Type="http://schemas.openxmlformats.org/officeDocument/2006/relationships/hyperlink" Target="https://untappd.com/b/rebel-apple-eden-sin-chapter-iii/5885210" TargetMode="External"/><Relationship Id="rId363" Type="http://schemas.openxmlformats.org/officeDocument/2006/relationships/hyperlink" Target="https://untappd.com/b/steppe-and-wind-meadery-step-i-veter-strawberry-lavender-and-hops-mead/5687420" TargetMode="External"/><Relationship Id="rId120" Type="http://schemas.openxmlformats.org/officeDocument/2006/relationships/hyperlink" Target="https://untappd.com/b/atmosphere-brewery-sour-club/5676367" TargetMode="External"/><Relationship Id="rId241" Type="http://schemas.openxmlformats.org/officeDocument/2006/relationships/hyperlink" Target="https://untappd.com/b/rebel-apple-dickiy-crest-medium-dry/4279282" TargetMode="External"/><Relationship Id="rId362" Type="http://schemas.openxmlformats.org/officeDocument/2006/relationships/hyperlink" Target="https://untappd.com/b/steppe-and-wind-meadery-step-i-veter-smoothie-mead-strawberry-banana-cranberry/3940218" TargetMode="External"/><Relationship Id="rId240" Type="http://schemas.openxmlformats.org/officeDocument/2006/relationships/hyperlink" Target="https://untappd.com/b/rebel-apple-carmilla-sherry-cider/5355130" TargetMode="External"/><Relationship Id="rId361" Type="http://schemas.openxmlformats.org/officeDocument/2006/relationships/hyperlink" Target="https://untappd.com/b/steppe-and-wind-meadery-step-i-veter-smoothie-mead-mango-orange/3978681" TargetMode="External"/><Relationship Id="rId360" Type="http://schemas.openxmlformats.org/officeDocument/2006/relationships/hyperlink" Target="https://untappd.com/b/steppe-and-wind-meadery-step-i-veter-smoothie-mead-grapefruit-strawberry-mint/4818098" TargetMode="External"/><Relationship Id="rId125" Type="http://schemas.openxmlformats.org/officeDocument/2006/relationships/hyperlink" Target="https://untappd.com/b/big-pot-pirog-marakujya-klubnika/6196354" TargetMode="External"/><Relationship Id="rId246" Type="http://schemas.openxmlformats.org/officeDocument/2006/relationships/hyperlink" Target="https://untappd.com/b/red-button-brewery-cilantro/6315761" TargetMode="External"/><Relationship Id="rId367" Type="http://schemas.openxmlformats.org/officeDocument/2006/relationships/hyperlink" Target="https://untappd.com/b/time-bomb-brewery-kraftpit/6284086" TargetMode="External"/><Relationship Id="rId124" Type="http://schemas.openxmlformats.org/officeDocument/2006/relationships/hyperlink" Target="https://untappd.com/b/big-pot-pirog-marakujya-sliva-malina/6196352" TargetMode="External"/><Relationship Id="rId245" Type="http://schemas.openxmlformats.org/officeDocument/2006/relationships/hyperlink" Target="https://untappd.com/b/red-button-brewery-berry-sour-kitchen-black-currant-x-mint/5935427" TargetMode="External"/><Relationship Id="rId366" Type="http://schemas.openxmlformats.org/officeDocument/2006/relationships/hyperlink" Target="https://untappd.com/b/switch-brewing-the-end-of-the-land/6212550" TargetMode="External"/><Relationship Id="rId123" Type="http://schemas.openxmlformats.org/officeDocument/2006/relationships/hyperlink" Target="https://untappd.com/b/big-pot-vspyshka/6332797" TargetMode="External"/><Relationship Id="rId244" Type="http://schemas.openxmlformats.org/officeDocument/2006/relationships/hyperlink" Target="https://untappd.com/b/red-button-brewery-aurora-tropicalis/6448656" TargetMode="External"/><Relationship Id="rId365" Type="http://schemas.openxmlformats.org/officeDocument/2006/relationships/hyperlink" Target="https://untappd.com/b/switch-brewing-academic-pizzicato/6253946" TargetMode="External"/><Relationship Id="rId122" Type="http://schemas.openxmlformats.org/officeDocument/2006/relationships/hyperlink" Target="https://untappd.com/b/big-pot-4-anniversary-smoothie-ale/6196347" TargetMode="External"/><Relationship Id="rId243" Type="http://schemas.openxmlformats.org/officeDocument/2006/relationships/hyperlink" Target="https://untappd.com/b/rebel-apple-pet-nat-by-rebel-apple/5885227" TargetMode="External"/><Relationship Id="rId364" Type="http://schemas.openxmlformats.org/officeDocument/2006/relationships/hyperlink" Target="https://untappd.com/b/steppe-and-wind-meadery-step-i-veter-traditional-mead/4711460" TargetMode="External"/><Relationship Id="rId95" Type="http://schemas.openxmlformats.org/officeDocument/2006/relationships/hyperlink" Target="https://untappd.com/b/4brewers-potato-day/4900143" TargetMode="External"/><Relationship Id="rId94" Type="http://schemas.openxmlformats.org/officeDocument/2006/relationships/hyperlink" Target="https://untappd.com/b/4brewers-neuro-juice-orange-pulp-mango-pineapple/6446786" TargetMode="External"/><Relationship Id="rId97" Type="http://schemas.openxmlformats.org/officeDocument/2006/relationships/hyperlink" Target="https://untappd.com/b/4brewers-turn-pineapple/6374244" TargetMode="External"/><Relationship Id="rId96" Type="http://schemas.openxmlformats.org/officeDocument/2006/relationships/hyperlink" Target="https://untappd.com/b/4brewers-santa-muerte/1803160" TargetMode="External"/><Relationship Id="rId99" Type="http://schemas.openxmlformats.org/officeDocument/2006/relationships/hyperlink" Target="https://untappd.com/b/atmosphere-brewery-dela-lamy/5359465" TargetMode="External"/><Relationship Id="rId98" Type="http://schemas.openxmlformats.org/officeDocument/2006/relationships/hyperlink" Target="https://untappd.com/b/atmosphere-brewery-anomaliya/4719975" TargetMode="External"/><Relationship Id="rId91" Type="http://schemas.openxmlformats.org/officeDocument/2006/relationships/hyperlink" Target="https://untappd.com/b/4brewers-neuro-juice-banana-mango-guava-pineapple-passionfruit-orange/6438576" TargetMode="External"/><Relationship Id="rId90" Type="http://schemas.openxmlformats.org/officeDocument/2006/relationships/hyperlink" Target="https://untappd.com/b/4brewers-mein-konig/5764394" TargetMode="External"/><Relationship Id="rId93" Type="http://schemas.openxmlformats.org/officeDocument/2006/relationships/hyperlink" Target="https://untappd.com/b/4brewers-neuro-juice-mango-passionfruit/6446788" TargetMode="External"/><Relationship Id="rId92" Type="http://schemas.openxmlformats.org/officeDocument/2006/relationships/hyperlink" Target="https://untappd.com/b/4brewers-neuro-juice-black-currant-strawberry-cranberry-raspberry-cherry-cowberry/6454691" TargetMode="External"/><Relationship Id="rId118" Type="http://schemas.openxmlformats.org/officeDocument/2006/relationships/hyperlink" Target="https://untappd.com/b/atmosphere-brewery-full-immersion/5111493" TargetMode="External"/><Relationship Id="rId239" Type="http://schemas.openxmlformats.org/officeDocument/2006/relationships/hyperlink" Target="https://untappd.com/b/plague-brew-lemon-forester/5648481" TargetMode="External"/><Relationship Id="rId117" Type="http://schemas.openxmlformats.org/officeDocument/2006/relationships/hyperlink" Target="https://untappd.com/b/atmosphere-brewery-udar-tajsona/4983719" TargetMode="External"/><Relationship Id="rId238" Type="http://schemas.openxmlformats.org/officeDocument/2006/relationships/hyperlink" Target="https://untappd.com/b/ostrovica-wish-wish/4813284" TargetMode="External"/><Relationship Id="rId359" Type="http://schemas.openxmlformats.org/officeDocument/2006/relationships/hyperlink" Target="https://untappd.com/b/steppe-and-wind-meadery-step-i-veter-smoothie-mead-blueberry-banana-vanilla/3978679" TargetMode="External"/><Relationship Id="rId116" Type="http://schemas.openxmlformats.org/officeDocument/2006/relationships/hyperlink" Target="https://untappd.com/b/atmosphere-brewery-tropicheskaya-dich-v-2-0/3974035" TargetMode="External"/><Relationship Id="rId237" Type="http://schemas.openxmlformats.org/officeDocument/2006/relationships/hyperlink" Target="https://untappd.com/b/ostrovica-weizen/4785388" TargetMode="External"/><Relationship Id="rId358" Type="http://schemas.openxmlformats.org/officeDocument/2006/relationships/hyperlink" Target="https://untappd.com/b/steppe-and-wind-meadery-step-i-veter-smoothie-imperial-mead-blackberry-feijoa-lemongrass/6340205" TargetMode="External"/><Relationship Id="rId115" Type="http://schemas.openxmlformats.org/officeDocument/2006/relationships/hyperlink" Target="https://untappd.com/b/atmosphere-brewery-ostraya-tomatnaya-dich-v-2-0/4227204" TargetMode="External"/><Relationship Id="rId236" Type="http://schemas.openxmlformats.org/officeDocument/2006/relationships/hyperlink" Target="https://untappd.com/b/ostrovica-weizen/4785388" TargetMode="External"/><Relationship Id="rId357" Type="http://schemas.openxmlformats.org/officeDocument/2006/relationships/hyperlink" Target="https://untappd.com/b/steppe-and-wind-meadery-step-i-veter-raspberry-mint-and-hops-mead-6/3869667" TargetMode="External"/><Relationship Id="rId119" Type="http://schemas.openxmlformats.org/officeDocument/2006/relationships/hyperlink" Target="https://untappd.com/b/atmosphere-brewery-mousse-cake-raspberry-apricot/5152506" TargetMode="External"/><Relationship Id="rId110" Type="http://schemas.openxmlformats.org/officeDocument/2006/relationships/hyperlink" Target="https://untappd.com/b/atmosphere-brewery-tomatnaya-dich-karri/6204184" TargetMode="External"/><Relationship Id="rId231" Type="http://schemas.openxmlformats.org/officeDocument/2006/relationships/hyperlink" Target="https://untappd.com/b/ostrovica-stout/1518335" TargetMode="External"/><Relationship Id="rId352" Type="http://schemas.openxmlformats.org/officeDocument/2006/relationships/hyperlink" Target="https://untappd.com/b/steppe-and-wind-meadery-step-i-veter-peach-orange-punch-mead/5370441" TargetMode="External"/><Relationship Id="rId230" Type="http://schemas.openxmlformats.org/officeDocument/2006/relationships/hyperlink" Target="https://untappd.com/b/ostrovica-juicy-ipa/4837657" TargetMode="External"/><Relationship Id="rId351" Type="http://schemas.openxmlformats.org/officeDocument/2006/relationships/hyperlink" Target="https://untappd.com/b/steppe-and-wind-meadery-step-i-veter-orange-and-vanilla-mead/5988893" TargetMode="External"/><Relationship Id="rId350" Type="http://schemas.openxmlformats.org/officeDocument/2006/relationships/hyperlink" Target="https://untappd.com/b/steppe-and-wind-meadery-step-i-veter-melon-and-lemongrass-mead/5159641" TargetMode="External"/><Relationship Id="rId114" Type="http://schemas.openxmlformats.org/officeDocument/2006/relationships/hyperlink" Target="https://untappd.com/b/atmosphere-brewery-tomatnaya-dich-mostarda/6204186" TargetMode="External"/><Relationship Id="rId235" Type="http://schemas.openxmlformats.org/officeDocument/2006/relationships/hyperlink" Target="https://untappd.com/b/ostrovica-seven-seconds/6254528" TargetMode="External"/><Relationship Id="rId356" Type="http://schemas.openxmlformats.org/officeDocument/2006/relationships/hyperlink" Target="https://untappd.com/b/steppe-and-wind-meadery-step-i-veter-raspberry-and-blueberry-bochet/4588524" TargetMode="External"/><Relationship Id="rId113" Type="http://schemas.openxmlformats.org/officeDocument/2006/relationships/hyperlink" Target="https://untappd.com/b/atmosphere-brewery-tomatnaya-dich-michelada/5540398" TargetMode="External"/><Relationship Id="rId234" Type="http://schemas.openxmlformats.org/officeDocument/2006/relationships/hyperlink" Target="https://untappd.com/b/ostrovica-pils/1872862" TargetMode="External"/><Relationship Id="rId355" Type="http://schemas.openxmlformats.org/officeDocument/2006/relationships/hyperlink" Target="https://untappd.com/b/steppe-and-wind-meadery-step-i-veter-mead-pyment/5776671" TargetMode="External"/><Relationship Id="rId112" Type="http://schemas.openxmlformats.org/officeDocument/2006/relationships/hyperlink" Target="https://untappd.com/b/atmosphere-brewery-kopchenaya-tomatnaya-dich/5540390" TargetMode="External"/><Relationship Id="rId233" Type="http://schemas.openxmlformats.org/officeDocument/2006/relationships/hyperlink" Target="https://untappd.com/b/ostrovica-pils/1872862" TargetMode="External"/><Relationship Id="rId354" Type="http://schemas.openxmlformats.org/officeDocument/2006/relationships/hyperlink" Target="https://untappd.com/b/steppe-and-wind-meadery-step-i-veter-pineapple-lime-mead/6180664" TargetMode="External"/><Relationship Id="rId111" Type="http://schemas.openxmlformats.org/officeDocument/2006/relationships/hyperlink" Target="https://untappd.com/b/atmosphere-brewery-tomatnaya-dich-kimchi/5540399" TargetMode="External"/><Relationship Id="rId232" Type="http://schemas.openxmlformats.org/officeDocument/2006/relationships/hyperlink" Target="https://untappd.com/b/ostrovica-pale-ale/3799694" TargetMode="External"/><Relationship Id="rId353" Type="http://schemas.openxmlformats.org/officeDocument/2006/relationships/hyperlink" Target="https://untappd.com/b/steppe-and-wind-meadery-step-i-veter-pear-lime-and-rosemary-mead/4869903" TargetMode="External"/><Relationship Id="rId305" Type="http://schemas.openxmlformats.org/officeDocument/2006/relationships/hyperlink" Target="https://untappd.com/b/selfmade-brewery-void-garden/4203680/photos" TargetMode="External"/><Relationship Id="rId304" Type="http://schemas.openxmlformats.org/officeDocument/2006/relationships/hyperlink" Target="https://untappd.com/b/selfmade-brewery-tropical-slasher/3830830" TargetMode="External"/><Relationship Id="rId303" Type="http://schemas.openxmlformats.org/officeDocument/2006/relationships/hyperlink" Target="https://untappd.com/b/selfmade-brewery-tomato-method-kimchi/6413255" TargetMode="External"/><Relationship Id="rId302" Type="http://schemas.openxmlformats.org/officeDocument/2006/relationships/hyperlink" Target="https://untappd.com/b/selfmade-brewery-tomato-method/3703753" TargetMode="External"/><Relationship Id="rId309" Type="http://schemas.openxmlformats.org/officeDocument/2006/relationships/hyperlink" Target="https://untappd.com/b/snowcap-brewing-muapolku/6446812" TargetMode="External"/><Relationship Id="rId308" Type="http://schemas.openxmlformats.org/officeDocument/2006/relationships/hyperlink" Target="https://untappd.com/b/snowcap-brewing-mecca/6238198" TargetMode="External"/><Relationship Id="rId307" Type="http://schemas.openxmlformats.org/officeDocument/2006/relationships/hyperlink" Target="https://untappd.com/b/snowcap-brewing-kannistarha/6389423" TargetMode="External"/><Relationship Id="rId306" Type="http://schemas.openxmlformats.org/officeDocument/2006/relationships/hyperlink" Target="https://untappd.com/b/selfmade-brewery-warlock-ritual/3691070" TargetMode="External"/><Relationship Id="rId301" Type="http://schemas.openxmlformats.org/officeDocument/2006/relationships/hyperlink" Target="https://untappd.com/b/selfmade-brewery-space-moth/4693595" TargetMode="External"/><Relationship Id="rId300" Type="http://schemas.openxmlformats.org/officeDocument/2006/relationships/hyperlink" Target="https://untappd.com/b/selfmade-brewery-shroomie/6446844" TargetMode="External"/><Relationship Id="rId206" Type="http://schemas.openxmlformats.org/officeDocument/2006/relationships/hyperlink" Target="https://untappd.com/b/mantra-lemonade-cherry/6366624" TargetMode="External"/><Relationship Id="rId327" Type="http://schemas.openxmlformats.org/officeDocument/2006/relationships/hyperlink" Target="https://untappd.com/b/stamm-brewing-rauchzart/6449799" TargetMode="External"/><Relationship Id="rId205" Type="http://schemas.openxmlformats.org/officeDocument/2006/relationships/hyperlink" Target="https://untappd.com/b/mantra-hellbringer/6421596" TargetMode="External"/><Relationship Id="rId326" Type="http://schemas.openxmlformats.org/officeDocument/2006/relationships/hyperlink" Target="https://untappd.com/b/stamm-brewing-off-the-pond/6430372" TargetMode="External"/><Relationship Id="rId204" Type="http://schemas.openxmlformats.org/officeDocument/2006/relationships/hyperlink" Target="https://untappd.com/b/mantra-galaxy-edge-blue-milk/5480271" TargetMode="External"/><Relationship Id="rId325" Type="http://schemas.openxmlformats.org/officeDocument/2006/relationships/hyperlink" Target="https://untappd.com/b/stamm-brewing-skybloom/6190179" TargetMode="External"/><Relationship Id="rId203" Type="http://schemas.openxmlformats.org/officeDocument/2006/relationships/hyperlink" Target="https://untappd.com/b/mantra-fracture-lingonberry-and-jalapeno/5751618" TargetMode="External"/><Relationship Id="rId324" Type="http://schemas.openxmlformats.org/officeDocument/2006/relationships/hyperlink" Target="https://untappd.com/b/stamm-brewing-nekoyama/6314836" TargetMode="External"/><Relationship Id="rId209" Type="http://schemas.openxmlformats.org/officeDocument/2006/relationships/hyperlink" Target="https://untappd.com/b/mantra-waffle-shuffle-banana-strawberry-and-chocolate-syrup/6297282" TargetMode="External"/><Relationship Id="rId208" Type="http://schemas.openxmlformats.org/officeDocument/2006/relationships/hyperlink" Target="https://untappd.com/b/mantra-shake-bus-banana-passion-fruit-and-calamansi/5320007" TargetMode="External"/><Relationship Id="rId329" Type="http://schemas.openxmlformats.org/officeDocument/2006/relationships/hyperlink" Target="https://untappd.com/b/stamm-brewing-sommer/6333984" TargetMode="External"/><Relationship Id="rId207" Type="http://schemas.openxmlformats.org/officeDocument/2006/relationships/hyperlink" Target="https://untappd.com/b/mantra-lemonade-grape/6297223" TargetMode="External"/><Relationship Id="rId328" Type="http://schemas.openxmlformats.org/officeDocument/2006/relationships/hyperlink" Target="https://untappd.com/b/stamm-brewing-solunate/6187766" TargetMode="External"/><Relationship Id="rId202" Type="http://schemas.openxmlformats.org/officeDocument/2006/relationships/hyperlink" Target="https://untappd.com/b/mantra-fracture-apple-and-pomegranate/4306384" TargetMode="External"/><Relationship Id="rId323" Type="http://schemas.openxmlformats.org/officeDocument/2006/relationships/hyperlink" Target="https://untappd.com/b/stamm-brewing-lone-sword/6455611" TargetMode="External"/><Relationship Id="rId201" Type="http://schemas.openxmlformats.org/officeDocument/2006/relationships/hyperlink" Target="https://untappd.com/b/mantra-dessert-messiah-cherry-macaroon-and-almond-syrup/6421533" TargetMode="External"/><Relationship Id="rId322" Type="http://schemas.openxmlformats.org/officeDocument/2006/relationships/hyperlink" Target="https://untappd.com/b/stamm-brewing-limit-break/3425915" TargetMode="External"/><Relationship Id="rId200" Type="http://schemas.openxmlformats.org/officeDocument/2006/relationships/hyperlink" Target="https://untappd.com/b/mantra-croissant-adept-cherry-raspberry-and-peanut-butter/6328762" TargetMode="External"/><Relationship Id="rId321" Type="http://schemas.openxmlformats.org/officeDocument/2006/relationships/hyperlink" Target="https://untappd.com/b/stamm-brewing-kells/6219157" TargetMode="External"/><Relationship Id="rId320" Type="http://schemas.openxmlformats.org/officeDocument/2006/relationships/hyperlink" Target="https://untappd.com/b/stamm-brewing-hop-gun-battle-royale/5412434" TargetMode="External"/><Relationship Id="rId316" Type="http://schemas.openxmlformats.org/officeDocument/2006/relationships/hyperlink" Target="https://untappd.com/b/stamm-brewing-cherrytonin/4989056" TargetMode="External"/><Relationship Id="rId315" Type="http://schemas.openxmlformats.org/officeDocument/2006/relationships/hyperlink" Target="https://untappd.com/b/stamm-brewing-american-pale-ale/427778" TargetMode="External"/><Relationship Id="rId314" Type="http://schemas.openxmlformats.org/officeDocument/2006/relationships/hyperlink" Target="https://untappd.com/b/stamm-brewing-alphorn/6273032" TargetMode="External"/><Relationship Id="rId313" Type="http://schemas.openxmlformats.org/officeDocument/2006/relationships/hyperlink" Target="https://untappd.com/b/stamm-brewing-alpha-hops-citra/6324806" TargetMode="External"/><Relationship Id="rId319" Type="http://schemas.openxmlformats.org/officeDocument/2006/relationships/hyperlink" Target="https://untappd.com/b/stamm-brewing-hop-gun-citra-and-mosaic/1048765" TargetMode="External"/><Relationship Id="rId318" Type="http://schemas.openxmlformats.org/officeDocument/2006/relationships/hyperlink" Target="https://untappd.com/b/stamm-brewing-goko/6389595" TargetMode="External"/><Relationship Id="rId317" Type="http://schemas.openxmlformats.org/officeDocument/2006/relationships/hyperlink" Target="https://untappd.com/b/stamm-brewing-emerald-head/6446090" TargetMode="External"/><Relationship Id="rId312" Type="http://schemas.openxmlformats.org/officeDocument/2006/relationships/hyperlink" Target="https://untappd.com/b/stamm-brewing-4-in-1-super-sour/3640169" TargetMode="External"/><Relationship Id="rId311" Type="http://schemas.openxmlformats.org/officeDocument/2006/relationships/hyperlink" Target="https://untappd.com/b/snowcap-brewing-petroskoi/5389974" TargetMode="External"/><Relationship Id="rId310" Type="http://schemas.openxmlformats.org/officeDocument/2006/relationships/hyperlink" Target="https://untappd.com/b/snowcap-brewing-mustat-kivet/63244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kolomenskaya-pivovarnya-altajskie-tradicii-weissbier/4953038" TargetMode="External"/><Relationship Id="rId3" Type="http://schemas.openxmlformats.org/officeDocument/2006/relationships/hyperlink" Target="https://untappd.com/b/kolomenskaya-pivovarnya-beloe/4603219" TargetMode="External"/><Relationship Id="rId4" Type="http://schemas.openxmlformats.org/officeDocument/2006/relationships/hyperlink" Target="https://untappd.com/b/kolomenskaya-pivovarnya-specvarka/5558967" TargetMode="External"/><Relationship Id="rId9" Type="http://schemas.openxmlformats.org/officeDocument/2006/relationships/hyperlink" Target="https://untappd.com/b/kolomenskaya-pivovarnya-starovar-non-alco/4683635" TargetMode="External"/><Relationship Id="rId5" Type="http://schemas.openxmlformats.org/officeDocument/2006/relationships/hyperlink" Target="https://untappd.com/b/kolomenskaya-pivovarnya-starovar-apa/6032294" TargetMode="External"/><Relationship Id="rId6" Type="http://schemas.openxmlformats.org/officeDocument/2006/relationships/hyperlink" Target="https://untappd.com/b/kolomenskaya-pivovarnya-starovar-black-velvet/4164671" TargetMode="External"/><Relationship Id="rId7" Type="http://schemas.openxmlformats.org/officeDocument/2006/relationships/hyperlink" Target="https://untappd.com/b/kolomenskaya-pivovarnya-starovar-ipa/6032302" TargetMode="External"/><Relationship Id="rId8" Type="http://schemas.openxmlformats.org/officeDocument/2006/relationships/hyperlink" Target="https://untappd.com/b/kolomenskaya-pivovarnya-starovar-munchen-helles/4164673" TargetMode="External"/><Relationship Id="rId40" Type="http://schemas.openxmlformats.org/officeDocument/2006/relationships/hyperlink" Target="https://untappd.com/b/big-village-brewery-fruitride/6430163" TargetMode="External"/><Relationship Id="rId42" Type="http://schemas.openxmlformats.org/officeDocument/2006/relationships/hyperlink" Target="https://untappd.com/b/big-village-brewery-imaginarium/2588758" TargetMode="External"/><Relationship Id="rId41" Type="http://schemas.openxmlformats.org/officeDocument/2006/relationships/hyperlink" Target="https://untappd.com/b/big-village-brewery-heartless-shadow/6389385" TargetMode="External"/><Relationship Id="rId44" Type="http://schemas.openxmlformats.org/officeDocument/2006/relationships/hyperlink" Target="https://untappd.com/b/big-village-brewery-seven-shimmers/6446218" TargetMode="External"/><Relationship Id="rId43" Type="http://schemas.openxmlformats.org/officeDocument/2006/relationships/hyperlink" Target="https://untappd.com/b/big-village-brewery-rearview/6414762" TargetMode="External"/><Relationship Id="rId46" Type="http://schemas.openxmlformats.org/officeDocument/2006/relationships/hyperlink" Target="https://untappd.com/b/big-village-brewery-village-stout/6430158" TargetMode="External"/><Relationship Id="rId45" Type="http://schemas.openxmlformats.org/officeDocument/2006/relationships/hyperlink" Target="https://untappd.com/b/big-village-brewery-village-blanche/4829131" TargetMode="External"/><Relationship Id="rId48" Type="http://schemas.openxmlformats.org/officeDocument/2006/relationships/hyperlink" Target="https://untappd.com/b/bonnie-ship-queen-grace/4724161" TargetMode="External"/><Relationship Id="rId47" Type="http://schemas.openxmlformats.org/officeDocument/2006/relationships/hyperlink" Target="https://untappd.com/b/big-village-brewery-yellow-cream/3776732" TargetMode="External"/><Relationship Id="rId49" Type="http://schemas.openxmlformats.org/officeDocument/2006/relationships/hyperlink" Target="https://untappd.com/b/bonnie-ship-radetzky-march/6308840" TargetMode="External"/><Relationship Id="rId31" Type="http://schemas.openxmlformats.org/officeDocument/2006/relationships/hyperlink" Target="https://untappd.com/b/pivovarnya-chasha-thicket-brewery-totem-medved-bear-totem/6332780" TargetMode="External"/><Relationship Id="rId30" Type="http://schemas.openxmlformats.org/officeDocument/2006/relationships/hyperlink" Target="https://untappd.com/b/pivovarnya-chasha-thicket-brewery-dzen-i-iskusstvo-uhoda-za-citrusami-zen-and-the-art-of-citrus-care/6392075" TargetMode="External"/><Relationship Id="rId33" Type="http://schemas.openxmlformats.org/officeDocument/2006/relationships/hyperlink" Target="https://untappd.com/b/4brewers-cheshskaya-desitka/6350935" TargetMode="External"/><Relationship Id="rId32" Type="http://schemas.openxmlformats.org/officeDocument/2006/relationships/hyperlink" Target="https://untappd.com/b/2-barrels-brewery-bananovye-mozgi/6397591" TargetMode="External"/><Relationship Id="rId35" Type="http://schemas.openxmlformats.org/officeDocument/2006/relationships/hyperlink" Target="https://untappd.com/b/atmosphere-brewery-tomatnaya-dich-kimchi/5540399" TargetMode="External"/><Relationship Id="rId34" Type="http://schemas.openxmlformats.org/officeDocument/2006/relationships/hyperlink" Target="https://untappd.com/b/atmosphere-brewery-anomaliya/4719975" TargetMode="External"/><Relationship Id="rId37" Type="http://schemas.openxmlformats.org/officeDocument/2006/relationships/hyperlink" Target="https://untappd.com/b/big-village-brewery-abc-kolsch/3669313" TargetMode="External"/><Relationship Id="rId36" Type="http://schemas.openxmlformats.org/officeDocument/2006/relationships/hyperlink" Target="https://untappd.com/b/big-pot-big-clash/6237046" TargetMode="External"/><Relationship Id="rId39" Type="http://schemas.openxmlformats.org/officeDocument/2006/relationships/hyperlink" Target="https://untappd.com/b/big-village-brewery-duck-moment/6430157" TargetMode="External"/><Relationship Id="rId38" Type="http://schemas.openxmlformats.org/officeDocument/2006/relationships/hyperlink" Target="https://untappd.com/b/big-village-brewery-abc-weizen/3126178" TargetMode="External"/><Relationship Id="rId20" Type="http://schemas.openxmlformats.org/officeDocument/2006/relationships/hyperlink" Target="https://untappd.com/b/pivovarnya-odna-tonna-odna-tonna-brewery-helles-helles/462767" TargetMode="External"/><Relationship Id="rId22" Type="http://schemas.openxmlformats.org/officeDocument/2006/relationships/hyperlink" Target="https://untappd.com/b/pivovarnya-odna-tonna-odna-tonna-brewery-mr-golding-mister-golding/443181" TargetMode="External"/><Relationship Id="rId21" Type="http://schemas.openxmlformats.org/officeDocument/2006/relationships/hyperlink" Target="https://untappd.com/b/pivovarnya-odna-tonna-odna-tonna-brewery-choco-mammuth-shokoladnyj-mamont/1591952" TargetMode="External"/><Relationship Id="rId24" Type="http://schemas.openxmlformats.org/officeDocument/2006/relationships/hyperlink" Target="https://untappd.com/b/pivovarnya-odna-tonna-odna-tonna-brewery-schukowski-pils-zhukovskij-pils/6349817" TargetMode="External"/><Relationship Id="rId23" Type="http://schemas.openxmlformats.org/officeDocument/2006/relationships/hyperlink" Target="https://untappd.com/b/pivovarnya-odna-tonna-odna-tonna-brewery-mr-o-vsyanka-oatmeal-stout/480345" TargetMode="External"/><Relationship Id="rId26" Type="http://schemas.openxmlformats.org/officeDocument/2006/relationships/hyperlink" Target="https://untappd.com/b/sidrodelnya-leonida-levrana-pskovskij-terruar-2023/5986172" TargetMode="External"/><Relationship Id="rId25" Type="http://schemas.openxmlformats.org/officeDocument/2006/relationships/hyperlink" Target="https://untappd.com/b/sidrodelnya-leonida-levrana-suhoj-2023/5949954" TargetMode="External"/><Relationship Id="rId28" Type="http://schemas.openxmlformats.org/officeDocument/2006/relationships/hyperlink" Target="https://untappd.com/b/sidrodelnya-leonida-levrana-hop-me/6070796" TargetMode="External"/><Relationship Id="rId27" Type="http://schemas.openxmlformats.org/officeDocument/2006/relationships/hyperlink" Target="https://untappd.com/b/sidrodelnya-leonida-levrana-862/6070777" TargetMode="External"/><Relationship Id="rId29" Type="http://schemas.openxmlformats.org/officeDocument/2006/relationships/hyperlink" Target="https://untappd.com/b/pivovarnya-chasha-thicket-brewery-dzen-i-iskusstvo-uhoda-za-kalamansi-zen-and-the-art-of-calamansi-care/6400001" TargetMode="External"/><Relationship Id="rId11" Type="http://schemas.openxmlformats.org/officeDocument/2006/relationships/hyperlink" Target="https://untappd.com/b/siberian-meadery-medovarnya-meda-sibiri-mead-honeysuckle/4985641" TargetMode="External"/><Relationship Id="rId10" Type="http://schemas.openxmlformats.org/officeDocument/2006/relationships/hyperlink" Target="https://untappd.com/b/siberian-meadery-medovarnya-meda-sibiri-mead-cherry/4866074" TargetMode="External"/><Relationship Id="rId13" Type="http://schemas.openxmlformats.org/officeDocument/2006/relationships/hyperlink" Target="https://untappd.com/b/pivovarnya-odna-tonna-odna-tonna-brewery-aviator/6205537" TargetMode="External"/><Relationship Id="rId12" Type="http://schemas.openxmlformats.org/officeDocument/2006/relationships/hyperlink" Target="https://untappd.com/b/siberian-meadery-medovarnya-meda-sibiri-mead-traditional/4866076" TargetMode="External"/><Relationship Id="rId15" Type="http://schemas.openxmlformats.org/officeDocument/2006/relationships/hyperlink" Target="https://untappd.com/b/pivovarnya-odna-tonna-odna-tonna-brewery-pilsner-pilsner/213570" TargetMode="External"/><Relationship Id="rId14" Type="http://schemas.openxmlformats.org/officeDocument/2006/relationships/hyperlink" Target="https://untappd.com/b/pivovarnya-odna-tonna-odna-tonna-brewery-otlichnyj-urozhaj-i-p-a-fu-ing-perfect-harvest/552706" TargetMode="External"/><Relationship Id="rId17" Type="http://schemas.openxmlformats.org/officeDocument/2006/relationships/hyperlink" Target="https://untappd.com/b/pivovarnya-odna-tonna-odna-tonna-brewery-selestial-hbc-638-chinook-azacca/6432296" TargetMode="External"/><Relationship Id="rId16" Type="http://schemas.openxmlformats.org/officeDocument/2006/relationships/hyperlink" Target="https://untappd.com/b/pivovarnya-odna-tonna-odna-tonna-brewery-ryzhaya-sonya-red-sonya/1318227" TargetMode="External"/><Relationship Id="rId19" Type="http://schemas.openxmlformats.org/officeDocument/2006/relationships/hyperlink" Target="https://untappd.com/b/pivovarnya-odna-tonna-odna-tonna-brewery-utro-tumannoe/3218787" TargetMode="External"/><Relationship Id="rId18" Type="http://schemas.openxmlformats.org/officeDocument/2006/relationships/hyperlink" Target="https://untappd.com/b/pivovarnya-odna-tonna-odna-tonna-brewery-selestial-strata-citra-mosaic/6413968" TargetMode="External"/><Relationship Id="rId84" Type="http://schemas.openxmlformats.org/officeDocument/2006/relationships/hyperlink" Target="https://untappd.com/b/red-rocket-brewery-dry-stout/6046324" TargetMode="External"/><Relationship Id="rId83" Type="http://schemas.openxmlformats.org/officeDocument/2006/relationships/hyperlink" Target="https://untappd.com/b/red-rocket-brewery-hoppy-lager/6254504" TargetMode="External"/><Relationship Id="rId86" Type="http://schemas.openxmlformats.org/officeDocument/2006/relationships/hyperlink" Target="https://untappd.com/b/selfmade-brewery-arcane-gleam/6446131" TargetMode="External"/><Relationship Id="rId85" Type="http://schemas.openxmlformats.org/officeDocument/2006/relationships/hyperlink" Target="https://untappd.com/b/red-rocket-brewery-transistor/6440850" TargetMode="External"/><Relationship Id="rId88" Type="http://schemas.openxmlformats.org/officeDocument/2006/relationships/hyperlink" Target="https://untappd.com/b/selfmade-brewery-rocket-jump/2396150" TargetMode="External"/><Relationship Id="rId87" Type="http://schemas.openxmlformats.org/officeDocument/2006/relationships/hyperlink" Target="https://untappd.com/b/selfmade-brewery-milk-star/2345713" TargetMode="External"/><Relationship Id="rId89" Type="http://schemas.openxmlformats.org/officeDocument/2006/relationships/hyperlink" Target="https://untappd.com/b/selfmade-brewery-selfmade-pilsner/5410045" TargetMode="External"/><Relationship Id="rId80" Type="http://schemas.openxmlformats.org/officeDocument/2006/relationships/hyperlink" Target="https://untappd.com/b/red-rocket-brewery-dipa/6158498" TargetMode="External"/><Relationship Id="rId82" Type="http://schemas.openxmlformats.org/officeDocument/2006/relationships/hyperlink" Target="https://untappd.com/b/red-rocket-brewery-helles/4642416" TargetMode="External"/><Relationship Id="rId81" Type="http://schemas.openxmlformats.org/officeDocument/2006/relationships/hyperlink" Target="https://untappd.com/b/red-rocket-brewery-dry-nitro-stout/4818820" TargetMode="External"/><Relationship Id="rId73" Type="http://schemas.openxmlformats.org/officeDocument/2006/relationships/hyperlink" Target="https://untappd.com/b/ostrovica-ipa/1304151" TargetMode="External"/><Relationship Id="rId72" Type="http://schemas.openxmlformats.org/officeDocument/2006/relationships/hyperlink" Target="https://untappd.com/b/ostrovica-b-day-lager/1591905" TargetMode="External"/><Relationship Id="rId75" Type="http://schemas.openxmlformats.org/officeDocument/2006/relationships/hyperlink" Target="https://untappd.com/b/ostrovica-holy-dipa/1962051" TargetMode="External"/><Relationship Id="rId74" Type="http://schemas.openxmlformats.org/officeDocument/2006/relationships/hyperlink" Target="https://untappd.com/b/ostrovica-helles/5275645" TargetMode="External"/><Relationship Id="rId77" Type="http://schemas.openxmlformats.org/officeDocument/2006/relationships/hyperlink" Target="https://untappd.com/b/ostrovica-pils/1872862" TargetMode="External"/><Relationship Id="rId76" Type="http://schemas.openxmlformats.org/officeDocument/2006/relationships/hyperlink" Target="https://untappd.com/b/ostrovica-juicy-ipa/4837657" TargetMode="External"/><Relationship Id="rId79" Type="http://schemas.openxmlformats.org/officeDocument/2006/relationships/hyperlink" Target="https://untappd.com/b/red-button-brewery-tropic-sour-kitchen/5716053" TargetMode="External"/><Relationship Id="rId78" Type="http://schemas.openxmlformats.org/officeDocument/2006/relationships/hyperlink" Target="https://untappd.com/b/red-button-brewery-berry-sour-kitchen-black-currant-x-mint/5935427" TargetMode="External"/><Relationship Id="rId71" Type="http://schemas.openxmlformats.org/officeDocument/2006/relationships/hyperlink" Target="https://untappd.com/b/on-the-bones-contract-brewery-toksovskij-tramplin/1405111" TargetMode="External"/><Relationship Id="rId70" Type="http://schemas.openxmlformats.org/officeDocument/2006/relationships/hyperlink" Target="https://untappd.com/b/on-the-bones-contract-brewery-prost/6316460" TargetMode="External"/><Relationship Id="rId62" Type="http://schemas.openxmlformats.org/officeDocument/2006/relationships/hyperlink" Target="https://untappd.com/b/horror-brewing-i-was-getting-drunk-in-a-flower-shop-10-years-ago/6195601" TargetMode="External"/><Relationship Id="rId61" Type="http://schemas.openxmlformats.org/officeDocument/2006/relationships/hyperlink" Target="https://untappd.com/b/horror-brewing-festival-destroyer/6365736" TargetMode="External"/><Relationship Id="rId64" Type="http://schemas.openxmlformats.org/officeDocument/2006/relationships/hyperlink" Target="https://untappd.com/b/horror-brewing-midnight-beast/6376072" TargetMode="External"/><Relationship Id="rId63" Type="http://schemas.openxmlformats.org/officeDocument/2006/relationships/hyperlink" Target="https://untappd.com/b/horror-brewing-midday-beast/6205422" TargetMode="External"/><Relationship Id="rId66" Type="http://schemas.openxmlformats.org/officeDocument/2006/relationships/hyperlink" Target="https://untappd.com/b/horror-brewing-same-shit-different-day-v-2/6314916" TargetMode="External"/><Relationship Id="rId65" Type="http://schemas.openxmlformats.org/officeDocument/2006/relationships/hyperlink" Target="https://untappd.com/b/horror-brewing-nonstop-feeling/6266469" TargetMode="External"/><Relationship Id="rId68" Type="http://schemas.openxmlformats.org/officeDocument/2006/relationships/hyperlink" Target="https://untappd.com/b/mantra-hellbringer/6421596" TargetMode="External"/><Relationship Id="rId67" Type="http://schemas.openxmlformats.org/officeDocument/2006/relationships/hyperlink" Target="https://untappd.com/b/khoffner-brewery-la-lucha-libre/5256631" TargetMode="External"/><Relationship Id="rId60" Type="http://schemas.openxmlformats.org/officeDocument/2006/relationships/hyperlink" Target="https://untappd.com/b/horror-brewing-epidemic/6202699" TargetMode="External"/><Relationship Id="rId69" Type="http://schemas.openxmlformats.org/officeDocument/2006/relationships/hyperlink" Target="https://untappd.com/b/on-the-bones-contract-brewery-laska-nerpy/1860632" TargetMode="External"/><Relationship Id="rId51" Type="http://schemas.openxmlformats.org/officeDocument/2006/relationships/hyperlink" Target="https://untappd.com/b/bonnie-ship-the-diamond/4673350" TargetMode="External"/><Relationship Id="rId50" Type="http://schemas.openxmlformats.org/officeDocument/2006/relationships/hyperlink" Target="https://untappd.com/b/bonnie-ship-st-andrews/4962480" TargetMode="External"/><Relationship Id="rId53" Type="http://schemas.openxmlformats.org/officeDocument/2006/relationships/hyperlink" Target="https://untappd.com/b/boxing-wizard-brewery-irish-wolf/5168629" TargetMode="External"/><Relationship Id="rId52" Type="http://schemas.openxmlformats.org/officeDocument/2006/relationships/hyperlink" Target="https://untappd.com/b/boxing-wizard-brewery-braw-chuchter/5229408" TargetMode="External"/><Relationship Id="rId55" Type="http://schemas.openxmlformats.org/officeDocument/2006/relationships/hyperlink" Target="https://untappd.com/b/dieta-dieta-v-sobstvennom-soku-vishnya/5423610" TargetMode="External"/><Relationship Id="rId54" Type="http://schemas.openxmlformats.org/officeDocument/2006/relationships/hyperlink" Target="https://untappd.com/b/boxing-wizard-brewery-sound-bevvy/5579070" TargetMode="External"/><Relationship Id="rId57" Type="http://schemas.openxmlformats.org/officeDocument/2006/relationships/hyperlink" Target="https://untappd.com/b/horror-brewing-golova/6365743" TargetMode="External"/><Relationship Id="rId56" Type="http://schemas.openxmlformats.org/officeDocument/2006/relationships/hyperlink" Target="https://untappd.com/b/dieta-dieta-sinor-pomidor-i-drug-ego-timyan/5828388" TargetMode="External"/><Relationship Id="rId59" Type="http://schemas.openxmlformats.org/officeDocument/2006/relationships/hyperlink" Target="https://untappd.com/b/horror-brewing-caress-and-scratch/6172560" TargetMode="External"/><Relationship Id="rId58" Type="http://schemas.openxmlformats.org/officeDocument/2006/relationships/hyperlink" Target="https://untappd.com/b/horror-brewing-a-night-in-the-lonesome-october/6431121" TargetMode="External"/><Relationship Id="rId107" Type="http://schemas.openxmlformats.org/officeDocument/2006/relationships/hyperlink" Target="https://untappd.com/b/switch-brewing-academic-pizzicato/6253946" TargetMode="External"/><Relationship Id="rId106" Type="http://schemas.openxmlformats.org/officeDocument/2006/relationships/hyperlink" Target="https://untappd.com/b/steppe-and-wind-meadery-step-i-veter-traditional-mead/4711460" TargetMode="External"/><Relationship Id="rId105" Type="http://schemas.openxmlformats.org/officeDocument/2006/relationships/hyperlink" Target="https://untappd.com/b/steppe-and-wind-meadery-step-i-veter-blueberry-and-vanilla-mead-6/3869661" TargetMode="External"/><Relationship Id="rId104" Type="http://schemas.openxmlformats.org/officeDocument/2006/relationships/hyperlink" Target="https://untappd.com/b/steppe-and-wind-meadery-step-i-veter-black-currant-mead/2552489" TargetMode="External"/><Relationship Id="rId109" Type="http://schemas.openxmlformats.org/officeDocument/2006/relationships/hyperlink" Target="https://untappd.com/b/zagovor-brewery-nitro-scratch/6143076" TargetMode="External"/><Relationship Id="rId108" Type="http://schemas.openxmlformats.org/officeDocument/2006/relationships/hyperlink" Target="https://untappd.com/b/zagovor-brewery-hot-wax/3026826" TargetMode="External"/><Relationship Id="rId103" Type="http://schemas.openxmlformats.org/officeDocument/2006/relationships/hyperlink" Target="https://untappd.com/b/stamm-brewing-your-young-lordship/4174764" TargetMode="External"/><Relationship Id="rId102" Type="http://schemas.openxmlformats.org/officeDocument/2006/relationships/hyperlink" Target="https://untappd.com/b/stamm-brewing-your-freak-lordship/5458594" TargetMode="External"/><Relationship Id="rId101" Type="http://schemas.openxmlformats.org/officeDocument/2006/relationships/hyperlink" Target="https://untappd.com/b/stamm-brewing-strassenbahn-dunkelweizen/6246733" TargetMode="External"/><Relationship Id="rId100" Type="http://schemas.openxmlformats.org/officeDocument/2006/relationships/hyperlink" Target="https://untappd.com/b/stamm-brewing-strassenbahn/4597639" TargetMode="External"/><Relationship Id="rId95" Type="http://schemas.openxmlformats.org/officeDocument/2006/relationships/hyperlink" Target="https://untappd.com/b/stamm-brewing-limit-break/3425915" TargetMode="External"/><Relationship Id="rId94" Type="http://schemas.openxmlformats.org/officeDocument/2006/relationships/hyperlink" Target="https://untappd.com/b/stamm-brewing-ghostly-caravan/4857981" TargetMode="External"/><Relationship Id="rId97" Type="http://schemas.openxmlformats.org/officeDocument/2006/relationships/hyperlink" Target="https://untappd.com/b/stamm-brewing-off-the-pond/6430372" TargetMode="External"/><Relationship Id="rId96" Type="http://schemas.openxmlformats.org/officeDocument/2006/relationships/hyperlink" Target="https://untappd.com/b/stamm-brewing-lone-sword/6455611" TargetMode="External"/><Relationship Id="rId99" Type="http://schemas.openxmlformats.org/officeDocument/2006/relationships/hyperlink" Target="https://untappd.com/b/stamm-brewing-sombra-blanca/6389597" TargetMode="External"/><Relationship Id="rId98" Type="http://schemas.openxmlformats.org/officeDocument/2006/relationships/hyperlink" Target="https://untappd.com/b/stamm-brewing-rauchzart/6449799" TargetMode="External"/><Relationship Id="rId91" Type="http://schemas.openxmlformats.org/officeDocument/2006/relationships/hyperlink" Target="https://untappd.com/b/snowcap-brewing-muapolku/6446812" TargetMode="External"/><Relationship Id="rId90" Type="http://schemas.openxmlformats.org/officeDocument/2006/relationships/hyperlink" Target="https://untappd.com/b/selfmade-brewery-tomato-method/3703753" TargetMode="External"/><Relationship Id="rId93" Type="http://schemas.openxmlformats.org/officeDocument/2006/relationships/hyperlink" Target="https://untappd.com/b/stamm-brewing-beeswax/6340295" TargetMode="External"/><Relationship Id="rId92" Type="http://schemas.openxmlformats.org/officeDocument/2006/relationships/hyperlink" Target="https://untappd.com/b/stamm-brewing-american-pale-ale/427778" TargetMode="External"/><Relationship Id="rId110" Type="http://schemas.openxmlformats.org/officeDocument/2006/relationships/hyperlink" Target="https://untappd.com/b/zagovor-brewery-stop-n-go-ddh-lupulin-powder/2502871" TargetMode="External"/><Relationship Id="rId11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v-ritme-v-ritme-non-alco-grapefruit-ale/5912970" TargetMode="External"/><Relationship Id="rId3" Type="http://schemas.openxmlformats.org/officeDocument/2006/relationships/hyperlink" Target="https://untappd.com/b/v-ritme-v-ritme-non-alco-slassic-gose/5912965" TargetMode="External"/><Relationship Id="rId4" Type="http://schemas.openxmlformats.org/officeDocument/2006/relationships/hyperlink" Target="https://untappd.com/b/v-ritme-v-ritme-non-alco-coffee-stout/6273878" TargetMode="External"/><Relationship Id="rId9" Type="http://schemas.openxmlformats.org/officeDocument/2006/relationships/hyperlink" Target="https://untappd.com/b/kolomenskaya-pivovarnya-starovar-non-alco/4683635" TargetMode="External"/><Relationship Id="rId5" Type="http://schemas.openxmlformats.org/officeDocument/2006/relationships/hyperlink" Target="https://untappd.com/b/v-ritme-v-ritme-non-alco-lager/6273882" TargetMode="External"/><Relationship Id="rId6" Type="http://schemas.openxmlformats.org/officeDocument/2006/relationships/hyperlink" Target="https://untappd.com/b/v-ritme-v-ritme-non-alco-lemon-gose/5912969" TargetMode="External"/><Relationship Id="rId7" Type="http://schemas.openxmlformats.org/officeDocument/2006/relationships/hyperlink" Target="https://untappd.com/b/v-ritme-v-ritme-non-alco-feijoa-sour-ale/5909350" TargetMode="External"/><Relationship Id="rId8" Type="http://schemas.openxmlformats.org/officeDocument/2006/relationships/hyperlink" Target="https://untappd.com/b/v-ritme-v-ritme-non-alco-raspberry-sour-ale/5912972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untappd.com/b/zagovor-brewery-embrace/5988713" TargetMode="External"/><Relationship Id="rId20" Type="http://schemas.openxmlformats.org/officeDocument/2006/relationships/hyperlink" Target="https://untappd.com/b/on-the-bones-contract-brewery-sober-mate/5420971" TargetMode="External"/><Relationship Id="rId22" Type="http://schemas.openxmlformats.org/officeDocument/2006/relationships/hyperlink" Target="https://untappd.com/b/red-button-brewery-c-u-2nite/4836321" TargetMode="External"/><Relationship Id="rId21" Type="http://schemas.openxmlformats.org/officeDocument/2006/relationships/hyperlink" Target="https://untappd.com/b/rebel-apple-nympho/4439831" TargetMode="External"/><Relationship Id="rId24" Type="http://schemas.openxmlformats.org/officeDocument/2006/relationships/hyperlink" Target="https://untappd.com/b/red-button-brewery-larousse-gastronomique-watermelon/6383168" TargetMode="External"/><Relationship Id="rId23" Type="http://schemas.openxmlformats.org/officeDocument/2006/relationships/hyperlink" Target="https://untappd.com/b/red-button-brewery-dancing-with-your-demons/6392333" TargetMode="External"/><Relationship Id="rId26" Type="http://schemas.openxmlformats.org/officeDocument/2006/relationships/hyperlink" Target="https://untappd.com/b/red-button-brewery-go-the-n-a-kalamansi-batch/6306188" TargetMode="External"/><Relationship Id="rId25" Type="http://schemas.openxmlformats.org/officeDocument/2006/relationships/hyperlink" Target="https://untappd.com/b/red-button-brewery-go-the-n-a/4774354" TargetMode="External"/><Relationship Id="rId28" Type="http://schemas.openxmlformats.org/officeDocument/2006/relationships/hyperlink" Target="https://untappd.com/b/red-button-brewery-u-r-awsm/4472279" TargetMode="External"/><Relationship Id="rId27" Type="http://schemas.openxmlformats.org/officeDocument/2006/relationships/hyperlink" Target="https://untappd.com/b/red-button-brewery-larousse-gastronomique/6299049" TargetMode="External"/><Relationship Id="rId29" Type="http://schemas.openxmlformats.org/officeDocument/2006/relationships/hyperlink" Target="https://untappd.com/b/red-button-brewery-xoxo/5818807" TargetMode="External"/><Relationship Id="rId11" Type="http://schemas.openxmlformats.org/officeDocument/2006/relationships/hyperlink" Target="https://untappd.com/b/siberian-meadery-medovarnya-meda-sibiri-non-alcoholic-mead-zhimolost/5936258" TargetMode="External"/><Relationship Id="rId10" Type="http://schemas.openxmlformats.org/officeDocument/2006/relationships/hyperlink" Target="https://untappd.com/b/kolomenskaya-pivovarnya-starovar-non-alco-dark/6299061" TargetMode="External"/><Relationship Id="rId13" Type="http://schemas.openxmlformats.org/officeDocument/2006/relationships/hyperlink" Target="https://untappd.com/b/siberian-meadery-medovarnya-meda-sibiri-non-alcoholic-mead-cherry/5936310" TargetMode="External"/><Relationship Id="rId12" Type="http://schemas.openxmlformats.org/officeDocument/2006/relationships/hyperlink" Target="https://untappd.com/b/siberian-meadery-medovarnya-meda-sibiri-non-alcoholic-mead-citrus/5936308" TargetMode="External"/><Relationship Id="rId15" Type="http://schemas.openxmlformats.org/officeDocument/2006/relationships/hyperlink" Target="https://untappd.com/b/bonnie-ship-st-andrews-na/6205399" TargetMode="External"/><Relationship Id="rId14" Type="http://schemas.openxmlformats.org/officeDocument/2006/relationships/hyperlink" Target="https://untappd.com/b/sidrodelnya-leonida-levrana-bezalkogolnyj-2024/6306535" TargetMode="External"/><Relationship Id="rId17" Type="http://schemas.openxmlformats.org/officeDocument/2006/relationships/hyperlink" Target="https://untappd.com/b/ostrovica-easy-hazy/5811135" TargetMode="External"/><Relationship Id="rId16" Type="http://schemas.openxmlformats.org/officeDocument/2006/relationships/hyperlink" Target="https://untappd.com/b/khoffner-brewery-satori/5019712?edit=success" TargetMode="External"/><Relationship Id="rId19" Type="http://schemas.openxmlformats.org/officeDocument/2006/relationships/hyperlink" Target="https://untappd.com/b/ostrovica-easy-pils/5979061" TargetMode="External"/><Relationship Id="rId18" Type="http://schemas.openxmlformats.org/officeDocument/2006/relationships/hyperlink" Target="https://untappd.com/b/ostrovica-easy-hops/60467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  <col customWidth="1" min="2" max="2" width="43.75"/>
    <col customWidth="1" min="3" max="3" width="16.75"/>
    <col customWidth="1" min="4" max="4" width="15.88"/>
    <col customWidth="1" min="5" max="5" width="65.38"/>
    <col customWidth="1" min="6" max="6" width="14.63"/>
    <col customWidth="1" min="7" max="7" width="10.25"/>
    <col customWidth="1" min="9" max="11" width="12.25"/>
  </cols>
  <sheetData>
    <row r="1" ht="103.5" customHeight="1">
      <c r="A1" s="1" t="s">
        <v>0</v>
      </c>
      <c r="E1" s="2"/>
      <c r="F1" s="3" t="s">
        <v>1</v>
      </c>
      <c r="J1" s="4"/>
      <c r="K1" s="4"/>
    </row>
    <row r="2">
      <c r="A2" s="5" t="s">
        <v>2</v>
      </c>
      <c r="B2" s="6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6" t="s">
        <v>9</v>
      </c>
      <c r="I2" s="6" t="s">
        <v>10</v>
      </c>
      <c r="J2" s="11" t="s">
        <v>11</v>
      </c>
      <c r="K2" s="11" t="s">
        <v>9</v>
      </c>
    </row>
    <row r="3" hidden="1">
      <c r="A3" s="12" t="s">
        <v>12</v>
      </c>
      <c r="B3" s="13"/>
      <c r="C3" s="13"/>
      <c r="D3" s="13"/>
      <c r="E3" s="13"/>
      <c r="F3" s="13"/>
      <c r="G3" s="13"/>
      <c r="H3" s="13"/>
      <c r="I3" s="14"/>
      <c r="J3" s="15"/>
      <c r="K3" s="15"/>
    </row>
    <row r="4" hidden="1">
      <c r="A4" s="16" t="s">
        <v>13</v>
      </c>
      <c r="B4" s="17" t="s">
        <v>14</v>
      </c>
      <c r="C4" s="18" t="s">
        <v>15</v>
      </c>
      <c r="D4" s="19" t="s">
        <v>16</v>
      </c>
      <c r="E4" s="20" t="s">
        <v>17</v>
      </c>
      <c r="F4" s="21" t="s">
        <v>18</v>
      </c>
      <c r="G4" s="22" t="s">
        <v>19</v>
      </c>
      <c r="H4" s="23">
        <v>99.0</v>
      </c>
      <c r="I4" s="24" t="s">
        <v>20</v>
      </c>
      <c r="J4" s="25">
        <v>0.0</v>
      </c>
      <c r="K4" s="25">
        <f t="shared" ref="K4:K13" si="1">PRODUCT(H4,J4)</f>
        <v>0</v>
      </c>
    </row>
    <row r="5">
      <c r="A5" s="16" t="s">
        <v>13</v>
      </c>
      <c r="B5" s="26" t="s">
        <v>21</v>
      </c>
      <c r="C5" s="18" t="s">
        <v>22</v>
      </c>
      <c r="D5" s="19" t="s">
        <v>23</v>
      </c>
      <c r="E5" s="27" t="s">
        <v>24</v>
      </c>
      <c r="F5" s="21" t="s">
        <v>18</v>
      </c>
      <c r="G5" s="22" t="s">
        <v>19</v>
      </c>
      <c r="H5" s="23">
        <v>135.0</v>
      </c>
      <c r="I5" s="24" t="s">
        <v>20</v>
      </c>
      <c r="J5" s="25">
        <v>10.0</v>
      </c>
      <c r="K5" s="25">
        <f t="shared" si="1"/>
        <v>1350</v>
      </c>
    </row>
    <row r="6" hidden="1">
      <c r="A6" s="16" t="s">
        <v>13</v>
      </c>
      <c r="B6" s="28" t="s">
        <v>25</v>
      </c>
      <c r="C6" s="18" t="s">
        <v>26</v>
      </c>
      <c r="D6" s="19" t="s">
        <v>27</v>
      </c>
      <c r="E6" s="20" t="s">
        <v>28</v>
      </c>
      <c r="F6" s="21" t="s">
        <v>18</v>
      </c>
      <c r="G6" s="22" t="s">
        <v>19</v>
      </c>
      <c r="H6" s="23">
        <v>105.0</v>
      </c>
      <c r="I6" s="24" t="s">
        <v>20</v>
      </c>
      <c r="J6" s="25">
        <v>0.0</v>
      </c>
      <c r="K6" s="25">
        <f t="shared" si="1"/>
        <v>0</v>
      </c>
    </row>
    <row r="7" hidden="1">
      <c r="A7" s="16" t="s">
        <v>13</v>
      </c>
      <c r="B7" s="28" t="s">
        <v>29</v>
      </c>
      <c r="C7" s="18" t="s">
        <v>30</v>
      </c>
      <c r="D7" s="19" t="s">
        <v>31</v>
      </c>
      <c r="E7" s="20" t="s">
        <v>32</v>
      </c>
      <c r="F7" s="21" t="s">
        <v>18</v>
      </c>
      <c r="G7" s="22" t="s">
        <v>19</v>
      </c>
      <c r="H7" s="23">
        <v>109.0</v>
      </c>
      <c r="I7" s="24" t="s">
        <v>20</v>
      </c>
      <c r="J7" s="25">
        <v>0.0</v>
      </c>
      <c r="K7" s="25">
        <f t="shared" si="1"/>
        <v>0</v>
      </c>
    </row>
    <row r="8" hidden="1">
      <c r="A8" s="16" t="s">
        <v>13</v>
      </c>
      <c r="B8" s="28" t="s">
        <v>33</v>
      </c>
      <c r="C8" s="18" t="s">
        <v>34</v>
      </c>
      <c r="D8" s="19" t="s">
        <v>35</v>
      </c>
      <c r="E8" s="20" t="s">
        <v>36</v>
      </c>
      <c r="F8" s="21" t="s">
        <v>18</v>
      </c>
      <c r="G8" s="22" t="s">
        <v>19</v>
      </c>
      <c r="H8" s="23">
        <v>115.0</v>
      </c>
      <c r="I8" s="24" t="s">
        <v>20</v>
      </c>
      <c r="J8" s="25">
        <v>0.0</v>
      </c>
      <c r="K8" s="25">
        <f t="shared" si="1"/>
        <v>0</v>
      </c>
    </row>
    <row r="9" hidden="1">
      <c r="A9" s="16" t="s">
        <v>13</v>
      </c>
      <c r="B9" s="28" t="s">
        <v>37</v>
      </c>
      <c r="C9" s="18" t="s">
        <v>38</v>
      </c>
      <c r="D9" s="19" t="s">
        <v>39</v>
      </c>
      <c r="E9" s="20" t="s">
        <v>40</v>
      </c>
      <c r="F9" s="21" t="s">
        <v>18</v>
      </c>
      <c r="G9" s="22" t="s">
        <v>19</v>
      </c>
      <c r="H9" s="23">
        <v>109.0</v>
      </c>
      <c r="I9" s="24" t="s">
        <v>20</v>
      </c>
      <c r="J9" s="25">
        <v>0.0</v>
      </c>
      <c r="K9" s="25">
        <f t="shared" si="1"/>
        <v>0</v>
      </c>
    </row>
    <row r="10">
      <c r="A10" s="16" t="s">
        <v>13</v>
      </c>
      <c r="B10" s="26" t="s">
        <v>41</v>
      </c>
      <c r="C10" s="18" t="s">
        <v>42</v>
      </c>
      <c r="D10" s="19" t="s">
        <v>43</v>
      </c>
      <c r="E10" s="27" t="s">
        <v>44</v>
      </c>
      <c r="F10" s="21" t="s">
        <v>18</v>
      </c>
      <c r="G10" s="22" t="s">
        <v>19</v>
      </c>
      <c r="H10" s="29">
        <v>139.0</v>
      </c>
      <c r="I10" s="24" t="s">
        <v>20</v>
      </c>
      <c r="J10" s="25">
        <v>10.0</v>
      </c>
      <c r="K10" s="25">
        <f t="shared" si="1"/>
        <v>1390</v>
      </c>
    </row>
    <row r="11">
      <c r="A11" s="16" t="s">
        <v>13</v>
      </c>
      <c r="B11" s="26" t="s">
        <v>45</v>
      </c>
      <c r="C11" s="18" t="s">
        <v>46</v>
      </c>
      <c r="D11" s="19" t="s">
        <v>47</v>
      </c>
      <c r="E11" s="27" t="s">
        <v>48</v>
      </c>
      <c r="F11" s="21" t="s">
        <v>18</v>
      </c>
      <c r="G11" s="22" t="s">
        <v>19</v>
      </c>
      <c r="H11" s="23">
        <v>105.0</v>
      </c>
      <c r="I11" s="24" t="s">
        <v>20</v>
      </c>
      <c r="J11" s="25">
        <v>10.0</v>
      </c>
      <c r="K11" s="25">
        <f t="shared" si="1"/>
        <v>1050</v>
      </c>
    </row>
    <row r="12">
      <c r="A12" s="16" t="s">
        <v>13</v>
      </c>
      <c r="B12" s="26" t="s">
        <v>49</v>
      </c>
      <c r="C12" s="18" t="s">
        <v>50</v>
      </c>
      <c r="D12" s="19" t="s">
        <v>51</v>
      </c>
      <c r="E12" s="27" t="s">
        <v>52</v>
      </c>
      <c r="F12" s="21" t="s">
        <v>18</v>
      </c>
      <c r="G12" s="22" t="s">
        <v>19</v>
      </c>
      <c r="H12" s="23">
        <v>105.0</v>
      </c>
      <c r="I12" s="24" t="s">
        <v>20</v>
      </c>
      <c r="J12" s="25">
        <v>10.0</v>
      </c>
      <c r="K12" s="25">
        <f t="shared" si="1"/>
        <v>1050</v>
      </c>
    </row>
    <row r="13" hidden="1">
      <c r="A13" s="16" t="s">
        <v>13</v>
      </c>
      <c r="B13" s="28" t="s">
        <v>53</v>
      </c>
      <c r="C13" s="18" t="s">
        <v>54</v>
      </c>
      <c r="D13" s="19" t="s">
        <v>55</v>
      </c>
      <c r="E13" s="20" t="s">
        <v>56</v>
      </c>
      <c r="F13" s="21" t="s">
        <v>18</v>
      </c>
      <c r="G13" s="22" t="s">
        <v>19</v>
      </c>
      <c r="H13" s="23">
        <v>105.0</v>
      </c>
      <c r="I13" s="24" t="s">
        <v>20</v>
      </c>
      <c r="J13" s="25">
        <v>0.0</v>
      </c>
      <c r="K13" s="25">
        <f t="shared" si="1"/>
        <v>0</v>
      </c>
    </row>
    <row r="14" hidden="1">
      <c r="A14" s="12" t="s">
        <v>57</v>
      </c>
      <c r="B14" s="13"/>
      <c r="C14" s="13"/>
      <c r="D14" s="13"/>
      <c r="E14" s="13"/>
      <c r="F14" s="13"/>
      <c r="G14" s="13"/>
      <c r="H14" s="13"/>
      <c r="I14" s="14"/>
      <c r="J14" s="15"/>
      <c r="K14" s="15"/>
    </row>
    <row r="15" hidden="1">
      <c r="A15" s="16" t="s">
        <v>58</v>
      </c>
      <c r="B15" s="30" t="s">
        <v>59</v>
      </c>
      <c r="C15" s="18" t="s">
        <v>60</v>
      </c>
      <c r="D15" s="19" t="s">
        <v>61</v>
      </c>
      <c r="E15" s="20" t="s">
        <v>62</v>
      </c>
      <c r="F15" s="21" t="s">
        <v>18</v>
      </c>
      <c r="G15" s="22" t="s">
        <v>63</v>
      </c>
      <c r="H15" s="23">
        <v>279.0</v>
      </c>
      <c r="I15" s="29" t="s">
        <v>64</v>
      </c>
      <c r="J15" s="25">
        <v>0.0</v>
      </c>
      <c r="K15" s="25">
        <f t="shared" ref="K15:K31" si="2">PRODUCT(H15,J15)</f>
        <v>0</v>
      </c>
    </row>
    <row r="16" hidden="1">
      <c r="A16" s="16" t="s">
        <v>58</v>
      </c>
      <c r="B16" s="31" t="s">
        <v>65</v>
      </c>
      <c r="C16" s="18" t="s">
        <v>60</v>
      </c>
      <c r="D16" s="19" t="s">
        <v>61</v>
      </c>
      <c r="E16" s="20" t="s">
        <v>66</v>
      </c>
      <c r="F16" s="21" t="s">
        <v>18</v>
      </c>
      <c r="G16" s="22" t="s">
        <v>63</v>
      </c>
      <c r="H16" s="23">
        <v>279.0</v>
      </c>
      <c r="I16" s="29" t="s">
        <v>64</v>
      </c>
      <c r="J16" s="25">
        <v>0.0</v>
      </c>
      <c r="K16" s="25">
        <f t="shared" si="2"/>
        <v>0</v>
      </c>
    </row>
    <row r="17" hidden="1">
      <c r="A17" s="16" t="s">
        <v>58</v>
      </c>
      <c r="B17" s="30" t="s">
        <v>67</v>
      </c>
      <c r="C17" s="18" t="s">
        <v>60</v>
      </c>
      <c r="D17" s="19" t="s">
        <v>61</v>
      </c>
      <c r="E17" s="20" t="s">
        <v>68</v>
      </c>
      <c r="F17" s="21" t="s">
        <v>18</v>
      </c>
      <c r="G17" s="22" t="s">
        <v>63</v>
      </c>
      <c r="H17" s="23">
        <v>279.0</v>
      </c>
      <c r="I17" s="29" t="s">
        <v>64</v>
      </c>
      <c r="J17" s="25">
        <v>0.0</v>
      </c>
      <c r="K17" s="25">
        <f t="shared" si="2"/>
        <v>0</v>
      </c>
    </row>
    <row r="18" hidden="1">
      <c r="A18" s="16" t="s">
        <v>58</v>
      </c>
      <c r="B18" s="30" t="s">
        <v>69</v>
      </c>
      <c r="C18" s="18" t="s">
        <v>70</v>
      </c>
      <c r="D18" s="19" t="s">
        <v>61</v>
      </c>
      <c r="E18" s="20" t="s">
        <v>71</v>
      </c>
      <c r="F18" s="21" t="s">
        <v>18</v>
      </c>
      <c r="G18" s="22" t="s">
        <v>63</v>
      </c>
      <c r="H18" s="23">
        <v>225.0</v>
      </c>
      <c r="I18" s="29" t="s">
        <v>64</v>
      </c>
      <c r="J18" s="25">
        <v>0.0</v>
      </c>
      <c r="K18" s="25">
        <f t="shared" si="2"/>
        <v>0</v>
      </c>
    </row>
    <row r="19" hidden="1">
      <c r="A19" s="16" t="s">
        <v>58</v>
      </c>
      <c r="B19" s="32" t="s">
        <v>72</v>
      </c>
      <c r="C19" s="18" t="s">
        <v>60</v>
      </c>
      <c r="D19" s="19" t="s">
        <v>61</v>
      </c>
      <c r="E19" s="27" t="s">
        <v>73</v>
      </c>
      <c r="F19" s="21" t="s">
        <v>18</v>
      </c>
      <c r="G19" s="22" t="s">
        <v>63</v>
      </c>
      <c r="H19" s="23">
        <v>229.0</v>
      </c>
      <c r="I19" s="29" t="s">
        <v>64</v>
      </c>
      <c r="J19" s="25">
        <v>0.0</v>
      </c>
      <c r="K19" s="25">
        <f t="shared" si="2"/>
        <v>0</v>
      </c>
    </row>
    <row r="20" hidden="1">
      <c r="A20" s="16" t="s">
        <v>58</v>
      </c>
      <c r="B20" s="30" t="s">
        <v>74</v>
      </c>
      <c r="C20" s="18" t="s">
        <v>75</v>
      </c>
      <c r="D20" s="19" t="s">
        <v>61</v>
      </c>
      <c r="E20" s="20" t="s">
        <v>76</v>
      </c>
      <c r="F20" s="21" t="s">
        <v>18</v>
      </c>
      <c r="G20" s="22" t="s">
        <v>63</v>
      </c>
      <c r="H20" s="23">
        <v>245.0</v>
      </c>
      <c r="I20" s="29" t="s">
        <v>64</v>
      </c>
      <c r="J20" s="25">
        <v>0.0</v>
      </c>
      <c r="K20" s="25">
        <f t="shared" si="2"/>
        <v>0</v>
      </c>
    </row>
    <row r="21" hidden="1">
      <c r="A21" s="16" t="s">
        <v>58</v>
      </c>
      <c r="B21" s="32" t="s">
        <v>77</v>
      </c>
      <c r="C21" s="18" t="s">
        <v>60</v>
      </c>
      <c r="D21" s="19" t="s">
        <v>61</v>
      </c>
      <c r="E21" s="27" t="s">
        <v>78</v>
      </c>
      <c r="F21" s="21" t="s">
        <v>18</v>
      </c>
      <c r="G21" s="22" t="s">
        <v>63</v>
      </c>
      <c r="H21" s="23">
        <v>219.0</v>
      </c>
      <c r="I21" s="33" t="s">
        <v>64</v>
      </c>
      <c r="J21" s="25">
        <v>0.0</v>
      </c>
      <c r="K21" s="25">
        <f t="shared" si="2"/>
        <v>0</v>
      </c>
    </row>
    <row r="22" hidden="1">
      <c r="A22" s="16" t="s">
        <v>58</v>
      </c>
      <c r="B22" s="32" t="s">
        <v>79</v>
      </c>
      <c r="C22" s="18" t="s">
        <v>60</v>
      </c>
      <c r="D22" s="19" t="s">
        <v>61</v>
      </c>
      <c r="E22" s="27" t="s">
        <v>80</v>
      </c>
      <c r="F22" s="21" t="s">
        <v>18</v>
      </c>
      <c r="G22" s="22" t="s">
        <v>63</v>
      </c>
      <c r="H22" s="23">
        <v>225.0</v>
      </c>
      <c r="I22" s="33" t="s">
        <v>64</v>
      </c>
      <c r="J22" s="25">
        <v>0.0</v>
      </c>
      <c r="K22" s="25">
        <f t="shared" si="2"/>
        <v>0</v>
      </c>
    </row>
    <row r="23" hidden="1">
      <c r="A23" s="16" t="s">
        <v>58</v>
      </c>
      <c r="B23" s="32" t="s">
        <v>81</v>
      </c>
      <c r="C23" s="18" t="s">
        <v>60</v>
      </c>
      <c r="D23" s="19" t="s">
        <v>61</v>
      </c>
      <c r="E23" s="27" t="s">
        <v>82</v>
      </c>
      <c r="F23" s="21" t="s">
        <v>18</v>
      </c>
      <c r="G23" s="22" t="s">
        <v>63</v>
      </c>
      <c r="H23" s="29">
        <v>199.0</v>
      </c>
      <c r="I23" s="33" t="s">
        <v>64</v>
      </c>
      <c r="J23" s="25">
        <v>0.0</v>
      </c>
      <c r="K23" s="25">
        <f t="shared" si="2"/>
        <v>0</v>
      </c>
    </row>
    <row r="24" hidden="1">
      <c r="A24" s="16" t="s">
        <v>58</v>
      </c>
      <c r="B24" s="32" t="s">
        <v>83</v>
      </c>
      <c r="C24" s="18" t="s">
        <v>60</v>
      </c>
      <c r="D24" s="19" t="s">
        <v>61</v>
      </c>
      <c r="E24" s="27" t="s">
        <v>84</v>
      </c>
      <c r="F24" s="21" t="s">
        <v>18</v>
      </c>
      <c r="G24" s="22" t="s">
        <v>63</v>
      </c>
      <c r="H24" s="23">
        <v>225.0</v>
      </c>
      <c r="I24" s="29" t="s">
        <v>64</v>
      </c>
      <c r="J24" s="25">
        <v>0.0</v>
      </c>
      <c r="K24" s="25">
        <f t="shared" si="2"/>
        <v>0</v>
      </c>
    </row>
    <row r="25" hidden="1">
      <c r="A25" s="16" t="s">
        <v>58</v>
      </c>
      <c r="B25" s="32" t="s">
        <v>85</v>
      </c>
      <c r="C25" s="18" t="s">
        <v>60</v>
      </c>
      <c r="D25" s="19" t="s">
        <v>61</v>
      </c>
      <c r="E25" s="27" t="s">
        <v>86</v>
      </c>
      <c r="F25" s="21" t="s">
        <v>18</v>
      </c>
      <c r="G25" s="22" t="s">
        <v>63</v>
      </c>
      <c r="H25" s="23">
        <v>265.0</v>
      </c>
      <c r="I25" s="33" t="s">
        <v>64</v>
      </c>
      <c r="J25" s="25">
        <v>0.0</v>
      </c>
      <c r="K25" s="25">
        <f t="shared" si="2"/>
        <v>0</v>
      </c>
    </row>
    <row r="26" hidden="1">
      <c r="A26" s="16" t="s">
        <v>58</v>
      </c>
      <c r="B26" s="32" t="s">
        <v>87</v>
      </c>
      <c r="C26" s="18" t="s">
        <v>60</v>
      </c>
      <c r="D26" s="19" t="s">
        <v>61</v>
      </c>
      <c r="E26" s="27" t="s">
        <v>88</v>
      </c>
      <c r="F26" s="21" t="s">
        <v>18</v>
      </c>
      <c r="G26" s="22" t="s">
        <v>63</v>
      </c>
      <c r="H26" s="23">
        <v>215.0</v>
      </c>
      <c r="I26" s="29" t="s">
        <v>64</v>
      </c>
      <c r="J26" s="25">
        <v>0.0</v>
      </c>
      <c r="K26" s="25">
        <f t="shared" si="2"/>
        <v>0</v>
      </c>
    </row>
    <row r="27" hidden="1">
      <c r="A27" s="16" t="s">
        <v>58</v>
      </c>
      <c r="B27" s="32" t="s">
        <v>89</v>
      </c>
      <c r="C27" s="18" t="s">
        <v>60</v>
      </c>
      <c r="D27" s="34" t="s">
        <v>90</v>
      </c>
      <c r="E27" s="27" t="s">
        <v>91</v>
      </c>
      <c r="F27" s="21" t="s">
        <v>18</v>
      </c>
      <c r="G27" s="22" t="s">
        <v>63</v>
      </c>
      <c r="H27" s="23">
        <v>185.0</v>
      </c>
      <c r="I27" s="33" t="s">
        <v>64</v>
      </c>
      <c r="J27" s="25">
        <v>0.0</v>
      </c>
      <c r="K27" s="25">
        <f t="shared" si="2"/>
        <v>0</v>
      </c>
    </row>
    <row r="28" hidden="1">
      <c r="A28" s="16" t="s">
        <v>58</v>
      </c>
      <c r="B28" s="32" t="s">
        <v>92</v>
      </c>
      <c r="C28" s="18" t="s">
        <v>60</v>
      </c>
      <c r="D28" s="19" t="s">
        <v>61</v>
      </c>
      <c r="E28" s="27" t="s">
        <v>93</v>
      </c>
      <c r="F28" s="21" t="s">
        <v>18</v>
      </c>
      <c r="G28" s="22" t="s">
        <v>63</v>
      </c>
      <c r="H28" s="23">
        <v>245.0</v>
      </c>
      <c r="I28" s="33" t="s">
        <v>64</v>
      </c>
      <c r="J28" s="25">
        <v>0.0</v>
      </c>
      <c r="K28" s="25">
        <f t="shared" si="2"/>
        <v>0</v>
      </c>
    </row>
    <row r="29" hidden="1">
      <c r="A29" s="16" t="s">
        <v>58</v>
      </c>
      <c r="B29" s="31" t="s">
        <v>94</v>
      </c>
      <c r="C29" s="18" t="s">
        <v>60</v>
      </c>
      <c r="D29" s="19" t="s">
        <v>61</v>
      </c>
      <c r="E29" s="20" t="s">
        <v>95</v>
      </c>
      <c r="F29" s="21" t="s">
        <v>18</v>
      </c>
      <c r="G29" s="22" t="s">
        <v>63</v>
      </c>
      <c r="H29" s="23">
        <v>215.0</v>
      </c>
      <c r="I29" s="29" t="s">
        <v>64</v>
      </c>
      <c r="J29" s="25">
        <v>0.0</v>
      </c>
      <c r="K29" s="25">
        <f t="shared" si="2"/>
        <v>0</v>
      </c>
    </row>
    <row r="30" hidden="1">
      <c r="A30" s="16" t="s">
        <v>58</v>
      </c>
      <c r="B30" s="30" t="s">
        <v>96</v>
      </c>
      <c r="C30" s="18" t="s">
        <v>70</v>
      </c>
      <c r="D30" s="19" t="s">
        <v>61</v>
      </c>
      <c r="E30" s="20" t="s">
        <v>97</v>
      </c>
      <c r="F30" s="21" t="s">
        <v>18</v>
      </c>
      <c r="G30" s="22" t="s">
        <v>63</v>
      </c>
      <c r="H30" s="23">
        <v>225.0</v>
      </c>
      <c r="I30" s="29" t="s">
        <v>64</v>
      </c>
      <c r="J30" s="25">
        <v>0.0</v>
      </c>
      <c r="K30" s="25">
        <f t="shared" si="2"/>
        <v>0</v>
      </c>
    </row>
    <row r="31" hidden="1">
      <c r="A31" s="16" t="s">
        <v>58</v>
      </c>
      <c r="B31" s="32" t="s">
        <v>98</v>
      </c>
      <c r="C31" s="18" t="s">
        <v>60</v>
      </c>
      <c r="D31" s="19" t="s">
        <v>61</v>
      </c>
      <c r="E31" s="27" t="s">
        <v>99</v>
      </c>
      <c r="F31" s="21" t="s">
        <v>18</v>
      </c>
      <c r="G31" s="22" t="s">
        <v>63</v>
      </c>
      <c r="H31" s="23">
        <v>279.0</v>
      </c>
      <c r="I31" s="29" t="s">
        <v>64</v>
      </c>
      <c r="J31" s="25">
        <v>0.0</v>
      </c>
      <c r="K31" s="25">
        <f t="shared" si="2"/>
        <v>0</v>
      </c>
    </row>
    <row r="32" hidden="1">
      <c r="A32" s="35" t="s">
        <v>100</v>
      </c>
      <c r="B32" s="13"/>
      <c r="C32" s="13"/>
      <c r="D32" s="13"/>
      <c r="E32" s="13"/>
      <c r="F32" s="13"/>
      <c r="G32" s="13"/>
      <c r="H32" s="13"/>
      <c r="I32" s="14"/>
      <c r="J32" s="36"/>
      <c r="K32" s="36"/>
    </row>
    <row r="33" hidden="1">
      <c r="A33" s="37" t="s">
        <v>101</v>
      </c>
      <c r="B33" s="31" t="s">
        <v>102</v>
      </c>
      <c r="C33" s="38" t="s">
        <v>42</v>
      </c>
      <c r="D33" s="38" t="s">
        <v>103</v>
      </c>
      <c r="E33" s="39" t="s">
        <v>104</v>
      </c>
      <c r="F33" s="22" t="s">
        <v>105</v>
      </c>
      <c r="G33" s="38" t="s">
        <v>106</v>
      </c>
      <c r="H33" s="40">
        <v>189.0</v>
      </c>
      <c r="I33" s="33" t="s">
        <v>64</v>
      </c>
      <c r="J33" s="25">
        <v>0.0</v>
      </c>
      <c r="K33" s="25">
        <f t="shared" ref="K33:K47" si="3">PRODUCT(H33,J33)</f>
        <v>0</v>
      </c>
    </row>
    <row r="34" hidden="1">
      <c r="A34" s="37" t="s">
        <v>101</v>
      </c>
      <c r="B34" s="31" t="s">
        <v>107</v>
      </c>
      <c r="C34" s="38" t="s">
        <v>42</v>
      </c>
      <c r="D34" s="38" t="s">
        <v>108</v>
      </c>
      <c r="E34" s="39" t="s">
        <v>109</v>
      </c>
      <c r="F34" s="22" t="s">
        <v>105</v>
      </c>
      <c r="G34" s="38" t="s">
        <v>106</v>
      </c>
      <c r="H34" s="40">
        <v>195.0</v>
      </c>
      <c r="I34" s="29" t="s">
        <v>64</v>
      </c>
      <c r="J34" s="25">
        <v>0.0</v>
      </c>
      <c r="K34" s="25">
        <f t="shared" si="3"/>
        <v>0</v>
      </c>
    </row>
    <row r="35" hidden="1">
      <c r="A35" s="37" t="s">
        <v>101</v>
      </c>
      <c r="B35" s="30" t="s">
        <v>110</v>
      </c>
      <c r="C35" s="41" t="s">
        <v>111</v>
      </c>
      <c r="D35" s="41" t="s">
        <v>112</v>
      </c>
      <c r="E35" s="42" t="s">
        <v>113</v>
      </c>
      <c r="F35" s="21" t="s">
        <v>105</v>
      </c>
      <c r="G35" s="41" t="s">
        <v>63</v>
      </c>
      <c r="H35" s="43">
        <v>225.0</v>
      </c>
      <c r="I35" s="44" t="s">
        <v>64</v>
      </c>
      <c r="J35" s="25">
        <v>0.0</v>
      </c>
      <c r="K35" s="25">
        <f t="shared" si="3"/>
        <v>0</v>
      </c>
    </row>
    <row r="36" hidden="1">
      <c r="A36" s="37" t="s">
        <v>101</v>
      </c>
      <c r="B36" s="31" t="s">
        <v>114</v>
      </c>
      <c r="C36" s="38" t="s">
        <v>115</v>
      </c>
      <c r="D36" s="38" t="s">
        <v>116</v>
      </c>
      <c r="E36" s="39" t="s">
        <v>117</v>
      </c>
      <c r="F36" s="22" t="s">
        <v>105</v>
      </c>
      <c r="G36" s="38" t="s">
        <v>106</v>
      </c>
      <c r="H36" s="40">
        <v>239.0</v>
      </c>
      <c r="I36" s="29" t="s">
        <v>64</v>
      </c>
      <c r="J36" s="25">
        <v>0.0</v>
      </c>
      <c r="K36" s="25">
        <f t="shared" si="3"/>
        <v>0</v>
      </c>
    </row>
    <row r="37" hidden="1">
      <c r="A37" s="37" t="s">
        <v>101</v>
      </c>
      <c r="B37" s="28" t="s">
        <v>118</v>
      </c>
      <c r="C37" s="45" t="s">
        <v>60</v>
      </c>
      <c r="D37" s="45" t="s">
        <v>119</v>
      </c>
      <c r="E37" s="39" t="s">
        <v>120</v>
      </c>
      <c r="F37" s="46" t="s">
        <v>105</v>
      </c>
      <c r="G37" s="45" t="s">
        <v>106</v>
      </c>
      <c r="H37" s="47">
        <v>309.0</v>
      </c>
      <c r="I37" s="48">
        <v>2.0</v>
      </c>
      <c r="J37" s="25">
        <v>0.0</v>
      </c>
      <c r="K37" s="25">
        <f t="shared" si="3"/>
        <v>0</v>
      </c>
    </row>
    <row r="38" hidden="1">
      <c r="A38" s="37" t="s">
        <v>101</v>
      </c>
      <c r="B38" s="17" t="s">
        <v>121</v>
      </c>
      <c r="C38" s="38" t="s">
        <v>15</v>
      </c>
      <c r="D38" s="38" t="s">
        <v>122</v>
      </c>
      <c r="E38" s="42" t="s">
        <v>123</v>
      </c>
      <c r="F38" s="22" t="s">
        <v>105</v>
      </c>
      <c r="G38" s="38" t="s">
        <v>106</v>
      </c>
      <c r="H38" s="49">
        <v>175.0</v>
      </c>
      <c r="I38" s="29" t="s">
        <v>64</v>
      </c>
      <c r="J38" s="25">
        <v>0.0</v>
      </c>
      <c r="K38" s="25">
        <f t="shared" si="3"/>
        <v>0</v>
      </c>
    </row>
    <row r="39" hidden="1">
      <c r="A39" s="37" t="s">
        <v>101</v>
      </c>
      <c r="B39" s="31" t="s">
        <v>124</v>
      </c>
      <c r="C39" s="38" t="s">
        <v>60</v>
      </c>
      <c r="D39" s="38" t="s">
        <v>119</v>
      </c>
      <c r="E39" s="39" t="s">
        <v>125</v>
      </c>
      <c r="F39" s="22" t="s">
        <v>105</v>
      </c>
      <c r="G39" s="38" t="s">
        <v>106</v>
      </c>
      <c r="H39" s="40">
        <v>205.0</v>
      </c>
      <c r="I39" s="29" t="s">
        <v>64</v>
      </c>
      <c r="J39" s="25">
        <v>0.0</v>
      </c>
      <c r="K39" s="25">
        <f t="shared" si="3"/>
        <v>0</v>
      </c>
    </row>
    <row r="40" hidden="1">
      <c r="A40" s="37" t="s">
        <v>101</v>
      </c>
      <c r="B40" s="31" t="s">
        <v>126</v>
      </c>
      <c r="C40" s="38" t="s">
        <v>60</v>
      </c>
      <c r="D40" s="38" t="s">
        <v>119</v>
      </c>
      <c r="E40" s="39" t="s">
        <v>127</v>
      </c>
      <c r="F40" s="22" t="s">
        <v>105</v>
      </c>
      <c r="G40" s="38" t="s">
        <v>106</v>
      </c>
      <c r="H40" s="40">
        <v>205.0</v>
      </c>
      <c r="I40" s="33" t="s">
        <v>64</v>
      </c>
      <c r="J40" s="25">
        <v>0.0</v>
      </c>
      <c r="K40" s="25">
        <f t="shared" si="3"/>
        <v>0</v>
      </c>
    </row>
    <row r="41" hidden="1">
      <c r="A41" s="37" t="s">
        <v>101</v>
      </c>
      <c r="B41" s="28" t="s">
        <v>128</v>
      </c>
      <c r="C41" s="41" t="s">
        <v>115</v>
      </c>
      <c r="D41" s="41" t="s">
        <v>129</v>
      </c>
      <c r="E41" s="39" t="s">
        <v>130</v>
      </c>
      <c r="F41" s="21" t="s">
        <v>105</v>
      </c>
      <c r="G41" s="41" t="s">
        <v>106</v>
      </c>
      <c r="H41" s="43">
        <v>255.0</v>
      </c>
      <c r="I41" s="33" t="s">
        <v>64</v>
      </c>
      <c r="J41" s="25">
        <v>0.0</v>
      </c>
      <c r="K41" s="25">
        <f t="shared" si="3"/>
        <v>0</v>
      </c>
    </row>
    <row r="42" hidden="1">
      <c r="A42" s="37" t="s">
        <v>101</v>
      </c>
      <c r="B42" s="17" t="s">
        <v>131</v>
      </c>
      <c r="C42" s="45" t="s">
        <v>60</v>
      </c>
      <c r="D42" s="45" t="s">
        <v>119</v>
      </c>
      <c r="E42" s="50" t="s">
        <v>132</v>
      </c>
      <c r="F42" s="46" t="s">
        <v>105</v>
      </c>
      <c r="G42" s="45" t="s">
        <v>106</v>
      </c>
      <c r="H42" s="47">
        <v>299.0</v>
      </c>
      <c r="I42" s="51" t="s">
        <v>64</v>
      </c>
      <c r="J42" s="25">
        <v>0.0</v>
      </c>
      <c r="K42" s="25">
        <f t="shared" si="3"/>
        <v>0</v>
      </c>
    </row>
    <row r="43" hidden="1">
      <c r="A43" s="37" t="s">
        <v>101</v>
      </c>
      <c r="B43" s="17" t="s">
        <v>133</v>
      </c>
      <c r="C43" s="45" t="s">
        <v>60</v>
      </c>
      <c r="D43" s="45" t="s">
        <v>119</v>
      </c>
      <c r="E43" s="50" t="s">
        <v>134</v>
      </c>
      <c r="F43" s="46" t="s">
        <v>105</v>
      </c>
      <c r="G43" s="45" t="s">
        <v>106</v>
      </c>
      <c r="H43" s="47">
        <v>299.0</v>
      </c>
      <c r="I43" s="51" t="s">
        <v>64</v>
      </c>
      <c r="J43" s="25">
        <v>0.0</v>
      </c>
      <c r="K43" s="25">
        <f t="shared" si="3"/>
        <v>0</v>
      </c>
    </row>
    <row r="44" hidden="1">
      <c r="A44" s="37" t="s">
        <v>101</v>
      </c>
      <c r="B44" s="17" t="s">
        <v>135</v>
      </c>
      <c r="C44" s="45" t="s">
        <v>60</v>
      </c>
      <c r="D44" s="45" t="s">
        <v>119</v>
      </c>
      <c r="E44" s="50" t="s">
        <v>136</v>
      </c>
      <c r="F44" s="46" t="s">
        <v>105</v>
      </c>
      <c r="G44" s="45" t="s">
        <v>106</v>
      </c>
      <c r="H44" s="47">
        <v>319.0</v>
      </c>
      <c r="I44" s="51" t="s">
        <v>64</v>
      </c>
      <c r="J44" s="25">
        <v>0.0</v>
      </c>
      <c r="K44" s="25">
        <f t="shared" si="3"/>
        <v>0</v>
      </c>
    </row>
    <row r="45" hidden="1">
      <c r="A45" s="37" t="s">
        <v>101</v>
      </c>
      <c r="B45" s="31" t="s">
        <v>137</v>
      </c>
      <c r="C45" s="18" t="s">
        <v>34</v>
      </c>
      <c r="D45" s="22" t="s">
        <v>138</v>
      </c>
      <c r="E45" s="39" t="s">
        <v>139</v>
      </c>
      <c r="F45" s="46" t="s">
        <v>105</v>
      </c>
      <c r="G45" s="45" t="s">
        <v>106</v>
      </c>
      <c r="H45" s="52">
        <v>195.0</v>
      </c>
      <c r="I45" s="51" t="s">
        <v>64</v>
      </c>
      <c r="J45" s="25">
        <v>0.0</v>
      </c>
      <c r="K45" s="25">
        <f t="shared" si="3"/>
        <v>0</v>
      </c>
    </row>
    <row r="46" hidden="1">
      <c r="A46" s="37" t="s">
        <v>101</v>
      </c>
      <c r="B46" s="30" t="s">
        <v>140</v>
      </c>
      <c r="C46" s="41" t="s">
        <v>141</v>
      </c>
      <c r="D46" s="41" t="s">
        <v>142</v>
      </c>
      <c r="E46" s="39" t="s">
        <v>143</v>
      </c>
      <c r="F46" s="21" t="s">
        <v>105</v>
      </c>
      <c r="G46" s="41" t="s">
        <v>106</v>
      </c>
      <c r="H46" s="43">
        <v>175.0</v>
      </c>
      <c r="I46" s="51" t="s">
        <v>64</v>
      </c>
      <c r="J46" s="25">
        <v>0.0</v>
      </c>
      <c r="K46" s="25">
        <f t="shared" si="3"/>
        <v>0</v>
      </c>
    </row>
    <row r="47" hidden="1">
      <c r="A47" s="37" t="s">
        <v>101</v>
      </c>
      <c r="B47" s="30" t="s">
        <v>144</v>
      </c>
      <c r="C47" s="41" t="s">
        <v>15</v>
      </c>
      <c r="D47" s="41" t="s">
        <v>145</v>
      </c>
      <c r="E47" s="39" t="s">
        <v>146</v>
      </c>
      <c r="F47" s="46" t="s">
        <v>105</v>
      </c>
      <c r="G47" s="45" t="s">
        <v>106</v>
      </c>
      <c r="H47" s="52">
        <v>175.0</v>
      </c>
      <c r="I47" s="51" t="s">
        <v>64</v>
      </c>
      <c r="J47" s="25">
        <v>0.0</v>
      </c>
      <c r="K47" s="25">
        <f t="shared" si="3"/>
        <v>0</v>
      </c>
    </row>
    <row r="48" hidden="1">
      <c r="A48" s="53" t="s">
        <v>147</v>
      </c>
      <c r="B48" s="13"/>
      <c r="C48" s="13"/>
      <c r="D48" s="13"/>
      <c r="E48" s="13"/>
      <c r="F48" s="13"/>
      <c r="G48" s="13"/>
      <c r="H48" s="13"/>
      <c r="I48" s="14"/>
      <c r="J48" s="54"/>
      <c r="K48" s="54"/>
    </row>
    <row r="49" hidden="1">
      <c r="A49" s="55" t="s">
        <v>148</v>
      </c>
      <c r="B49" s="28" t="s">
        <v>149</v>
      </c>
      <c r="C49" s="18" t="s">
        <v>150</v>
      </c>
      <c r="D49" s="19" t="s">
        <v>151</v>
      </c>
      <c r="E49" s="20" t="s">
        <v>152</v>
      </c>
      <c r="F49" s="21" t="s">
        <v>153</v>
      </c>
      <c r="G49" s="22" t="s">
        <v>154</v>
      </c>
      <c r="H49" s="23">
        <v>185.0</v>
      </c>
      <c r="I49" s="44" t="s">
        <v>64</v>
      </c>
      <c r="J49" s="25">
        <v>0.0</v>
      </c>
      <c r="K49" s="25">
        <f t="shared" ref="K49:K62" si="4">PRODUCT(H49,J49)</f>
        <v>0</v>
      </c>
    </row>
    <row r="50" hidden="1">
      <c r="A50" s="55" t="s">
        <v>148</v>
      </c>
      <c r="B50" s="30" t="s">
        <v>155</v>
      </c>
      <c r="C50" s="18" t="s">
        <v>150</v>
      </c>
      <c r="D50" s="19" t="s">
        <v>151</v>
      </c>
      <c r="E50" s="20" t="s">
        <v>152</v>
      </c>
      <c r="F50" s="21" t="s">
        <v>156</v>
      </c>
      <c r="G50" s="22" t="s">
        <v>154</v>
      </c>
      <c r="H50" s="23">
        <v>509.0</v>
      </c>
      <c r="I50" s="56" t="s">
        <v>157</v>
      </c>
      <c r="J50" s="25">
        <v>0.0</v>
      </c>
      <c r="K50" s="25">
        <f t="shared" si="4"/>
        <v>0</v>
      </c>
    </row>
    <row r="51" hidden="1">
      <c r="A51" s="55" t="s">
        <v>148</v>
      </c>
      <c r="B51" s="28" t="s">
        <v>158</v>
      </c>
      <c r="C51" s="18" t="s">
        <v>150</v>
      </c>
      <c r="D51" s="19" t="s">
        <v>151</v>
      </c>
      <c r="E51" s="20" t="s">
        <v>159</v>
      </c>
      <c r="F51" s="21" t="s">
        <v>153</v>
      </c>
      <c r="G51" s="22" t="s">
        <v>154</v>
      </c>
      <c r="H51" s="23">
        <v>189.0</v>
      </c>
      <c r="I51" s="44" t="s">
        <v>64</v>
      </c>
      <c r="J51" s="25">
        <v>0.0</v>
      </c>
      <c r="K51" s="25">
        <f t="shared" si="4"/>
        <v>0</v>
      </c>
    </row>
    <row r="52" hidden="1">
      <c r="A52" s="55" t="s">
        <v>148</v>
      </c>
      <c r="B52" s="30" t="s">
        <v>160</v>
      </c>
      <c r="C52" s="18" t="s">
        <v>150</v>
      </c>
      <c r="D52" s="19" t="s">
        <v>151</v>
      </c>
      <c r="E52" s="20" t="s">
        <v>159</v>
      </c>
      <c r="F52" s="21" t="s">
        <v>156</v>
      </c>
      <c r="G52" s="22" t="s">
        <v>154</v>
      </c>
      <c r="H52" s="23">
        <v>525.0</v>
      </c>
      <c r="I52" s="44" t="s">
        <v>64</v>
      </c>
      <c r="J52" s="25">
        <v>0.0</v>
      </c>
      <c r="K52" s="25">
        <f t="shared" si="4"/>
        <v>0</v>
      </c>
    </row>
    <row r="53" hidden="1">
      <c r="A53" s="55" t="s">
        <v>148</v>
      </c>
      <c r="B53" s="28" t="s">
        <v>161</v>
      </c>
      <c r="C53" s="18" t="s">
        <v>150</v>
      </c>
      <c r="D53" s="19" t="s">
        <v>151</v>
      </c>
      <c r="E53" s="20" t="s">
        <v>162</v>
      </c>
      <c r="F53" s="21" t="s">
        <v>153</v>
      </c>
      <c r="G53" s="22" t="s">
        <v>154</v>
      </c>
      <c r="H53" s="23">
        <v>195.0</v>
      </c>
      <c r="I53" s="44" t="s">
        <v>64</v>
      </c>
      <c r="J53" s="25">
        <v>0.0</v>
      </c>
      <c r="K53" s="25">
        <f t="shared" si="4"/>
        <v>0</v>
      </c>
    </row>
    <row r="54" hidden="1">
      <c r="A54" s="55" t="s">
        <v>148</v>
      </c>
      <c r="B54" s="31" t="s">
        <v>163</v>
      </c>
      <c r="C54" s="18" t="s">
        <v>150</v>
      </c>
      <c r="D54" s="19" t="s">
        <v>151</v>
      </c>
      <c r="E54" s="20" t="s">
        <v>162</v>
      </c>
      <c r="F54" s="21" t="s">
        <v>156</v>
      </c>
      <c r="G54" s="22" t="s">
        <v>154</v>
      </c>
      <c r="H54" s="23">
        <v>535.0</v>
      </c>
      <c r="I54" s="44" t="s">
        <v>64</v>
      </c>
      <c r="J54" s="25">
        <v>0.0</v>
      </c>
      <c r="K54" s="25">
        <f t="shared" si="4"/>
        <v>0</v>
      </c>
    </row>
    <row r="55" hidden="1">
      <c r="A55" s="55" t="s">
        <v>148</v>
      </c>
      <c r="B55" s="26" t="s">
        <v>164</v>
      </c>
      <c r="C55" s="18" t="s">
        <v>165</v>
      </c>
      <c r="D55" s="19" t="s">
        <v>151</v>
      </c>
      <c r="E55" s="27" t="s">
        <v>166</v>
      </c>
      <c r="F55" s="21" t="s">
        <v>156</v>
      </c>
      <c r="G55" s="22" t="s">
        <v>154</v>
      </c>
      <c r="H55" s="23">
        <v>689.0</v>
      </c>
      <c r="I55" s="44" t="s">
        <v>64</v>
      </c>
      <c r="J55" s="25">
        <v>0.0</v>
      </c>
      <c r="K55" s="25">
        <f t="shared" si="4"/>
        <v>0</v>
      </c>
    </row>
    <row r="56" hidden="1">
      <c r="A56" s="55" t="s">
        <v>148</v>
      </c>
      <c r="B56" s="26" t="s">
        <v>167</v>
      </c>
      <c r="C56" s="18" t="s">
        <v>150</v>
      </c>
      <c r="D56" s="19" t="s">
        <v>151</v>
      </c>
      <c r="E56" s="27" t="s">
        <v>168</v>
      </c>
      <c r="F56" s="21" t="s">
        <v>156</v>
      </c>
      <c r="G56" s="22" t="s">
        <v>154</v>
      </c>
      <c r="H56" s="57">
        <v>285.0</v>
      </c>
      <c r="I56" s="24" t="s">
        <v>20</v>
      </c>
      <c r="J56" s="25">
        <v>0.0</v>
      </c>
      <c r="K56" s="25">
        <f t="shared" si="4"/>
        <v>0</v>
      </c>
    </row>
    <row r="57" hidden="1">
      <c r="A57" s="55" t="s">
        <v>148</v>
      </c>
      <c r="B57" s="26" t="s">
        <v>169</v>
      </c>
      <c r="C57" s="18" t="s">
        <v>150</v>
      </c>
      <c r="D57" s="19" t="s">
        <v>151</v>
      </c>
      <c r="E57" s="27" t="s">
        <v>168</v>
      </c>
      <c r="F57" s="21" t="s">
        <v>156</v>
      </c>
      <c r="G57" s="22" t="s">
        <v>154</v>
      </c>
      <c r="H57" s="23">
        <v>689.0</v>
      </c>
      <c r="I57" s="44" t="s">
        <v>64</v>
      </c>
      <c r="J57" s="25">
        <v>0.0</v>
      </c>
      <c r="K57" s="25">
        <f t="shared" si="4"/>
        <v>0</v>
      </c>
    </row>
    <row r="58" hidden="1">
      <c r="A58" s="55" t="s">
        <v>148</v>
      </c>
      <c r="B58" s="26" t="s">
        <v>170</v>
      </c>
      <c r="C58" s="18" t="s">
        <v>150</v>
      </c>
      <c r="D58" s="19" t="s">
        <v>151</v>
      </c>
      <c r="E58" s="27" t="s">
        <v>171</v>
      </c>
      <c r="F58" s="21" t="s">
        <v>153</v>
      </c>
      <c r="G58" s="22" t="s">
        <v>154</v>
      </c>
      <c r="H58" s="23">
        <v>255.0</v>
      </c>
      <c r="I58" s="24" t="s">
        <v>20</v>
      </c>
      <c r="J58" s="25">
        <v>0.0</v>
      </c>
      <c r="K58" s="25">
        <f t="shared" si="4"/>
        <v>0</v>
      </c>
    </row>
    <row r="59" hidden="1">
      <c r="A59" s="55" t="s">
        <v>148</v>
      </c>
      <c r="B59" s="32" t="s">
        <v>172</v>
      </c>
      <c r="C59" s="18" t="s">
        <v>150</v>
      </c>
      <c r="D59" s="19" t="s">
        <v>151</v>
      </c>
      <c r="E59" s="27" t="s">
        <v>173</v>
      </c>
      <c r="F59" s="21" t="s">
        <v>153</v>
      </c>
      <c r="G59" s="22" t="s">
        <v>154</v>
      </c>
      <c r="H59" s="29">
        <v>205.0</v>
      </c>
      <c r="I59" s="44" t="s">
        <v>64</v>
      </c>
      <c r="J59" s="25">
        <v>0.0</v>
      </c>
      <c r="K59" s="25">
        <f t="shared" si="4"/>
        <v>0</v>
      </c>
    </row>
    <row r="60" hidden="1">
      <c r="A60" s="55" t="s">
        <v>148</v>
      </c>
      <c r="B60" s="26" t="s">
        <v>174</v>
      </c>
      <c r="C60" s="18" t="s">
        <v>150</v>
      </c>
      <c r="D60" s="19" t="s">
        <v>151</v>
      </c>
      <c r="E60" s="27" t="s">
        <v>173</v>
      </c>
      <c r="F60" s="21" t="s">
        <v>153</v>
      </c>
      <c r="G60" s="22" t="s">
        <v>154</v>
      </c>
      <c r="H60" s="29">
        <v>205.0</v>
      </c>
      <c r="I60" s="24" t="s">
        <v>20</v>
      </c>
      <c r="J60" s="25">
        <v>0.0</v>
      </c>
      <c r="K60" s="25">
        <f t="shared" si="4"/>
        <v>0</v>
      </c>
    </row>
    <row r="61" hidden="1">
      <c r="A61" s="55" t="s">
        <v>148</v>
      </c>
      <c r="B61" s="26" t="s">
        <v>175</v>
      </c>
      <c r="C61" s="18" t="s">
        <v>150</v>
      </c>
      <c r="D61" s="19" t="s">
        <v>151</v>
      </c>
      <c r="E61" s="27" t="s">
        <v>176</v>
      </c>
      <c r="F61" s="21" t="s">
        <v>153</v>
      </c>
      <c r="G61" s="22" t="s">
        <v>154</v>
      </c>
      <c r="H61" s="23">
        <v>205.0</v>
      </c>
      <c r="I61" s="44" t="s">
        <v>64</v>
      </c>
      <c r="J61" s="25">
        <v>0.0</v>
      </c>
      <c r="K61" s="25">
        <f t="shared" si="4"/>
        <v>0</v>
      </c>
    </row>
    <row r="62" hidden="1">
      <c r="A62" s="55" t="s">
        <v>148</v>
      </c>
      <c r="B62" s="26" t="s">
        <v>177</v>
      </c>
      <c r="C62" s="18" t="s">
        <v>150</v>
      </c>
      <c r="D62" s="19" t="s">
        <v>151</v>
      </c>
      <c r="E62" s="27" t="s">
        <v>176</v>
      </c>
      <c r="F62" s="21" t="s">
        <v>153</v>
      </c>
      <c r="G62" s="22" t="s">
        <v>154</v>
      </c>
      <c r="H62" s="23">
        <v>205.0</v>
      </c>
      <c r="I62" s="24" t="s">
        <v>20</v>
      </c>
      <c r="J62" s="25">
        <v>0.0</v>
      </c>
      <c r="K62" s="25">
        <f t="shared" si="4"/>
        <v>0</v>
      </c>
    </row>
    <row r="63" hidden="1">
      <c r="A63" s="58" t="s">
        <v>178</v>
      </c>
      <c r="B63" s="13"/>
      <c r="C63" s="13"/>
      <c r="D63" s="13"/>
      <c r="E63" s="13"/>
      <c r="F63" s="13"/>
      <c r="G63" s="13"/>
      <c r="H63" s="13"/>
      <c r="I63" s="14"/>
      <c r="J63" s="59"/>
      <c r="K63" s="59"/>
    </row>
    <row r="64" hidden="1">
      <c r="A64" s="37" t="s">
        <v>179</v>
      </c>
      <c r="B64" s="31" t="s">
        <v>180</v>
      </c>
      <c r="C64" s="22" t="s">
        <v>181</v>
      </c>
      <c r="D64" s="22" t="s">
        <v>182</v>
      </c>
      <c r="E64" s="60" t="s">
        <v>183</v>
      </c>
      <c r="F64" s="22" t="s">
        <v>184</v>
      </c>
      <c r="G64" s="22" t="s">
        <v>185</v>
      </c>
      <c r="H64" s="40">
        <v>229.0</v>
      </c>
      <c r="I64" s="24" t="s">
        <v>20</v>
      </c>
      <c r="J64" s="25">
        <v>0.0</v>
      </c>
      <c r="K64" s="25">
        <f t="shared" ref="K64:K71" si="5">PRODUCT(H64,J64)</f>
        <v>0</v>
      </c>
    </row>
    <row r="65" hidden="1">
      <c r="A65" s="37" t="s">
        <v>179</v>
      </c>
      <c r="B65" s="31" t="s">
        <v>186</v>
      </c>
      <c r="C65" s="22" t="s">
        <v>181</v>
      </c>
      <c r="D65" s="22" t="s">
        <v>182</v>
      </c>
      <c r="E65" s="60" t="s">
        <v>187</v>
      </c>
      <c r="F65" s="22" t="s">
        <v>184</v>
      </c>
      <c r="G65" s="22" t="s">
        <v>185</v>
      </c>
      <c r="H65" s="40">
        <v>229.0</v>
      </c>
      <c r="I65" s="24" t="s">
        <v>20</v>
      </c>
      <c r="J65" s="25">
        <v>0.0</v>
      </c>
      <c r="K65" s="25">
        <f t="shared" si="5"/>
        <v>0</v>
      </c>
    </row>
    <row r="66" hidden="1">
      <c r="A66" s="37" t="s">
        <v>179</v>
      </c>
      <c r="B66" s="17" t="s">
        <v>188</v>
      </c>
      <c r="C66" s="46" t="s">
        <v>189</v>
      </c>
      <c r="D66" s="46" t="s">
        <v>190</v>
      </c>
      <c r="E66" s="61" t="s">
        <v>191</v>
      </c>
      <c r="F66" s="62" t="s">
        <v>184</v>
      </c>
      <c r="G66" s="62" t="s">
        <v>185</v>
      </c>
      <c r="H66" s="52">
        <v>235.0</v>
      </c>
      <c r="I66" s="44" t="s">
        <v>64</v>
      </c>
      <c r="J66" s="25">
        <v>0.0</v>
      </c>
      <c r="K66" s="25">
        <f t="shared" si="5"/>
        <v>0</v>
      </c>
    </row>
    <row r="67" hidden="1">
      <c r="A67" s="37" t="s">
        <v>179</v>
      </c>
      <c r="B67" s="31" t="s">
        <v>192</v>
      </c>
      <c r="C67" s="22" t="s">
        <v>193</v>
      </c>
      <c r="D67" s="22" t="s">
        <v>194</v>
      </c>
      <c r="E67" s="60" t="s">
        <v>195</v>
      </c>
      <c r="F67" s="22" t="s">
        <v>184</v>
      </c>
      <c r="G67" s="22" t="s">
        <v>185</v>
      </c>
      <c r="H67" s="40">
        <v>229.0</v>
      </c>
      <c r="I67" s="44" t="s">
        <v>64</v>
      </c>
      <c r="J67" s="25">
        <v>0.0</v>
      </c>
      <c r="K67" s="25">
        <f t="shared" si="5"/>
        <v>0</v>
      </c>
    </row>
    <row r="68" hidden="1">
      <c r="A68" s="37" t="s">
        <v>179</v>
      </c>
      <c r="B68" s="31" t="s">
        <v>196</v>
      </c>
      <c r="C68" s="63" t="s">
        <v>60</v>
      </c>
      <c r="D68" s="62" t="s">
        <v>197</v>
      </c>
      <c r="E68" s="64" t="s">
        <v>198</v>
      </c>
      <c r="F68" s="62" t="s">
        <v>184</v>
      </c>
      <c r="G68" s="62" t="s">
        <v>185</v>
      </c>
      <c r="H68" s="47">
        <v>225.0</v>
      </c>
      <c r="I68" s="44" t="s">
        <v>64</v>
      </c>
      <c r="J68" s="25">
        <v>0.0</v>
      </c>
      <c r="K68" s="25">
        <f t="shared" si="5"/>
        <v>0</v>
      </c>
    </row>
    <row r="69" hidden="1">
      <c r="A69" s="37" t="s">
        <v>179</v>
      </c>
      <c r="B69" s="31" t="s">
        <v>199</v>
      </c>
      <c r="C69" s="62" t="s">
        <v>42</v>
      </c>
      <c r="D69" s="62" t="s">
        <v>200</v>
      </c>
      <c r="E69" s="64" t="s">
        <v>201</v>
      </c>
      <c r="F69" s="62" t="s">
        <v>184</v>
      </c>
      <c r="G69" s="62" t="s">
        <v>185</v>
      </c>
      <c r="H69" s="47">
        <v>235.0</v>
      </c>
      <c r="I69" s="48">
        <v>10.0</v>
      </c>
      <c r="J69" s="25">
        <v>0.0</v>
      </c>
      <c r="K69" s="25">
        <f t="shared" si="5"/>
        <v>0</v>
      </c>
    </row>
    <row r="70" hidden="1">
      <c r="A70" s="37" t="s">
        <v>179</v>
      </c>
      <c r="B70" s="31" t="s">
        <v>202</v>
      </c>
      <c r="C70" s="22" t="s">
        <v>42</v>
      </c>
      <c r="D70" s="22" t="s">
        <v>203</v>
      </c>
      <c r="E70" s="60" t="s">
        <v>204</v>
      </c>
      <c r="F70" s="22" t="s">
        <v>184</v>
      </c>
      <c r="G70" s="22" t="s">
        <v>185</v>
      </c>
      <c r="H70" s="40">
        <v>249.0</v>
      </c>
      <c r="I70" s="44" t="s">
        <v>64</v>
      </c>
      <c r="J70" s="25">
        <v>0.0</v>
      </c>
      <c r="K70" s="25">
        <f t="shared" si="5"/>
        <v>0</v>
      </c>
    </row>
    <row r="71" hidden="1">
      <c r="A71" s="37" t="s">
        <v>179</v>
      </c>
      <c r="B71" s="31" t="s">
        <v>205</v>
      </c>
      <c r="C71" s="22" t="s">
        <v>206</v>
      </c>
      <c r="D71" s="22" t="s">
        <v>207</v>
      </c>
      <c r="E71" s="60" t="s">
        <v>208</v>
      </c>
      <c r="F71" s="22" t="s">
        <v>184</v>
      </c>
      <c r="G71" s="22" t="s">
        <v>185</v>
      </c>
      <c r="H71" s="40">
        <v>245.0</v>
      </c>
      <c r="I71" s="24" t="s">
        <v>20</v>
      </c>
      <c r="J71" s="25">
        <v>0.0</v>
      </c>
      <c r="K71" s="25">
        <f t="shared" si="5"/>
        <v>0</v>
      </c>
    </row>
    <row r="72" hidden="1">
      <c r="A72" s="65" t="s">
        <v>209</v>
      </c>
      <c r="B72" s="66"/>
      <c r="C72" s="66"/>
      <c r="D72" s="66"/>
      <c r="E72" s="66"/>
      <c r="F72" s="66"/>
      <c r="G72" s="66"/>
      <c r="H72" s="66"/>
      <c r="I72" s="66"/>
      <c r="J72" s="59"/>
      <c r="K72" s="59"/>
    </row>
    <row r="73" hidden="1">
      <c r="A73" s="16" t="s">
        <v>210</v>
      </c>
      <c r="B73" s="67" t="s">
        <v>211</v>
      </c>
      <c r="C73" s="68" t="s">
        <v>212</v>
      </c>
      <c r="D73" s="34" t="s">
        <v>213</v>
      </c>
      <c r="E73" s="27" t="s">
        <v>214</v>
      </c>
      <c r="F73" s="22" t="s">
        <v>18</v>
      </c>
      <c r="G73" s="22" t="s">
        <v>63</v>
      </c>
      <c r="H73" s="23">
        <v>229.0</v>
      </c>
      <c r="I73" s="24" t="s">
        <v>20</v>
      </c>
      <c r="J73" s="25">
        <v>0.0</v>
      </c>
      <c r="K73" s="25">
        <f t="shared" ref="K73:K76" si="6">PRODUCT(H73,J73)</f>
        <v>0</v>
      </c>
    </row>
    <row r="74" hidden="1">
      <c r="A74" s="16" t="s">
        <v>210</v>
      </c>
      <c r="B74" s="67" t="s">
        <v>215</v>
      </c>
      <c r="C74" s="19" t="s">
        <v>216</v>
      </c>
      <c r="D74" s="34" t="s">
        <v>217</v>
      </c>
      <c r="E74" s="27" t="s">
        <v>218</v>
      </c>
      <c r="F74" s="22" t="s">
        <v>18</v>
      </c>
      <c r="G74" s="22" t="s">
        <v>63</v>
      </c>
      <c r="H74" s="23">
        <v>269.0</v>
      </c>
      <c r="I74" s="29" t="s">
        <v>64</v>
      </c>
      <c r="J74" s="25">
        <v>0.0</v>
      </c>
      <c r="K74" s="25">
        <f t="shared" si="6"/>
        <v>0</v>
      </c>
    </row>
    <row r="75" hidden="1">
      <c r="A75" s="16" t="s">
        <v>210</v>
      </c>
      <c r="B75" s="67" t="s">
        <v>219</v>
      </c>
      <c r="C75" s="19" t="s">
        <v>220</v>
      </c>
      <c r="D75" s="34" t="s">
        <v>221</v>
      </c>
      <c r="E75" s="27" t="s">
        <v>222</v>
      </c>
      <c r="F75" s="22" t="s">
        <v>18</v>
      </c>
      <c r="G75" s="22" t="s">
        <v>63</v>
      </c>
      <c r="H75" s="23">
        <v>229.0</v>
      </c>
      <c r="I75" s="29" t="s">
        <v>64</v>
      </c>
      <c r="J75" s="25">
        <v>0.0</v>
      </c>
      <c r="K75" s="25">
        <f t="shared" si="6"/>
        <v>0</v>
      </c>
    </row>
    <row r="76" hidden="1">
      <c r="A76" s="16" t="s">
        <v>210</v>
      </c>
      <c r="B76" s="67" t="s">
        <v>223</v>
      </c>
      <c r="C76" s="68" t="s">
        <v>141</v>
      </c>
      <c r="D76" s="34" t="s">
        <v>224</v>
      </c>
      <c r="E76" s="27" t="s">
        <v>225</v>
      </c>
      <c r="F76" s="22" t="s">
        <v>18</v>
      </c>
      <c r="G76" s="22" t="s">
        <v>63</v>
      </c>
      <c r="H76" s="23">
        <v>205.0</v>
      </c>
      <c r="I76" s="33" t="s">
        <v>64</v>
      </c>
      <c r="J76" s="25">
        <v>0.0</v>
      </c>
      <c r="K76" s="25">
        <f t="shared" si="6"/>
        <v>0</v>
      </c>
    </row>
    <row r="77" hidden="1">
      <c r="A77" s="69" t="s">
        <v>226</v>
      </c>
      <c r="B77" s="66"/>
      <c r="C77" s="66"/>
      <c r="D77" s="66"/>
      <c r="E77" s="66"/>
      <c r="F77" s="66"/>
      <c r="G77" s="66"/>
      <c r="H77" s="66"/>
      <c r="I77" s="66"/>
      <c r="J77" s="70"/>
      <c r="K77" s="70"/>
    </row>
    <row r="78" hidden="1">
      <c r="A78" s="71" t="s">
        <v>227</v>
      </c>
      <c r="B78" s="32" t="s">
        <v>228</v>
      </c>
      <c r="C78" s="68" t="s">
        <v>229</v>
      </c>
      <c r="D78" s="34" t="s">
        <v>230</v>
      </c>
      <c r="E78" s="27" t="s">
        <v>231</v>
      </c>
      <c r="F78" s="22" t="s">
        <v>184</v>
      </c>
      <c r="G78" s="19" t="s">
        <v>63</v>
      </c>
      <c r="H78" s="23">
        <v>235.0</v>
      </c>
      <c r="I78" s="29" t="s">
        <v>64</v>
      </c>
      <c r="J78" s="25">
        <v>0.0</v>
      </c>
      <c r="K78" s="25">
        <f t="shared" ref="K78:K105" si="7">PRODUCT(H78,J78)</f>
        <v>0</v>
      </c>
    </row>
    <row r="79" hidden="1">
      <c r="A79" s="71" t="s">
        <v>227</v>
      </c>
      <c r="B79" s="72" t="s">
        <v>232</v>
      </c>
      <c r="C79" s="34" t="s">
        <v>233</v>
      </c>
      <c r="D79" s="73" t="s">
        <v>90</v>
      </c>
      <c r="E79" s="27" t="s">
        <v>234</v>
      </c>
      <c r="F79" s="22" t="s">
        <v>184</v>
      </c>
      <c r="G79" s="22" t="s">
        <v>19</v>
      </c>
      <c r="H79" s="23">
        <v>235.0</v>
      </c>
      <c r="I79" s="33" t="s">
        <v>64</v>
      </c>
      <c r="J79" s="25">
        <v>0.0</v>
      </c>
      <c r="K79" s="25">
        <f t="shared" si="7"/>
        <v>0</v>
      </c>
    </row>
    <row r="80">
      <c r="A80" s="71" t="s">
        <v>227</v>
      </c>
      <c r="B80" s="32" t="s">
        <v>235</v>
      </c>
      <c r="C80" s="34" t="s">
        <v>34</v>
      </c>
      <c r="D80" s="34" t="s">
        <v>236</v>
      </c>
      <c r="E80" s="27" t="s">
        <v>237</v>
      </c>
      <c r="F80" s="22" t="s">
        <v>184</v>
      </c>
      <c r="G80" s="22" t="s">
        <v>19</v>
      </c>
      <c r="H80" s="23">
        <v>205.0</v>
      </c>
      <c r="I80" s="29" t="s">
        <v>64</v>
      </c>
      <c r="J80" s="25">
        <v>12.0</v>
      </c>
      <c r="K80" s="25">
        <f t="shared" si="7"/>
        <v>2460</v>
      </c>
    </row>
    <row r="81" hidden="1">
      <c r="A81" s="71" t="s">
        <v>227</v>
      </c>
      <c r="B81" s="67" t="s">
        <v>238</v>
      </c>
      <c r="C81" s="74" t="s">
        <v>239</v>
      </c>
      <c r="D81" s="75" t="s">
        <v>240</v>
      </c>
      <c r="E81" s="27" t="s">
        <v>241</v>
      </c>
      <c r="F81" s="22" t="s">
        <v>184</v>
      </c>
      <c r="G81" s="22" t="s">
        <v>19</v>
      </c>
      <c r="H81" s="23">
        <v>219.0</v>
      </c>
      <c r="I81" s="29" t="s">
        <v>64</v>
      </c>
      <c r="J81" s="25">
        <v>0.0</v>
      </c>
      <c r="K81" s="25">
        <f t="shared" si="7"/>
        <v>0</v>
      </c>
    </row>
    <row r="82" hidden="1">
      <c r="A82" s="71" t="s">
        <v>227</v>
      </c>
      <c r="B82" s="67" t="s">
        <v>242</v>
      </c>
      <c r="C82" s="73" t="s">
        <v>243</v>
      </c>
      <c r="D82" s="34" t="s">
        <v>244</v>
      </c>
      <c r="E82" s="27" t="s">
        <v>245</v>
      </c>
      <c r="F82" s="22" t="s">
        <v>184</v>
      </c>
      <c r="G82" s="22" t="s">
        <v>19</v>
      </c>
      <c r="H82" s="23">
        <v>219.0</v>
      </c>
      <c r="I82" s="24" t="s">
        <v>20</v>
      </c>
      <c r="J82" s="25">
        <v>12.0</v>
      </c>
      <c r="K82" s="25">
        <f t="shared" si="7"/>
        <v>2628</v>
      </c>
    </row>
    <row r="83" hidden="1">
      <c r="A83" s="37" t="s">
        <v>227</v>
      </c>
      <c r="B83" s="31" t="s">
        <v>246</v>
      </c>
      <c r="C83" s="19" t="s">
        <v>233</v>
      </c>
      <c r="D83" s="19" t="s">
        <v>90</v>
      </c>
      <c r="E83" s="20" t="s">
        <v>247</v>
      </c>
      <c r="F83" s="22" t="s">
        <v>184</v>
      </c>
      <c r="G83" s="19" t="s">
        <v>63</v>
      </c>
      <c r="H83" s="49">
        <v>205.0</v>
      </c>
      <c r="I83" s="29" t="s">
        <v>64</v>
      </c>
      <c r="J83" s="25">
        <v>0.0</v>
      </c>
      <c r="K83" s="25">
        <f t="shared" si="7"/>
        <v>0</v>
      </c>
    </row>
    <row r="84" hidden="1">
      <c r="A84" s="37" t="s">
        <v>227</v>
      </c>
      <c r="B84" s="26" t="s">
        <v>248</v>
      </c>
      <c r="C84" s="34" t="s">
        <v>233</v>
      </c>
      <c r="D84" s="34" t="s">
        <v>145</v>
      </c>
      <c r="E84" s="27" t="s">
        <v>249</v>
      </c>
      <c r="F84" s="22" t="s">
        <v>184</v>
      </c>
      <c r="G84" s="22" t="s">
        <v>19</v>
      </c>
      <c r="H84" s="57">
        <v>235.0</v>
      </c>
      <c r="I84" s="29" t="s">
        <v>64</v>
      </c>
      <c r="J84" s="25">
        <v>0.0</v>
      </c>
      <c r="K84" s="25">
        <f t="shared" si="7"/>
        <v>0</v>
      </c>
    </row>
    <row r="85" hidden="1">
      <c r="A85" s="71" t="s">
        <v>227</v>
      </c>
      <c r="B85" s="72" t="s">
        <v>250</v>
      </c>
      <c r="C85" s="34" t="s">
        <v>233</v>
      </c>
      <c r="D85" s="73" t="s">
        <v>251</v>
      </c>
      <c r="E85" s="27" t="s">
        <v>252</v>
      </c>
      <c r="F85" s="22" t="s">
        <v>184</v>
      </c>
      <c r="G85" s="22" t="s">
        <v>19</v>
      </c>
      <c r="H85" s="23">
        <v>235.0</v>
      </c>
      <c r="I85" s="76">
        <v>10.0</v>
      </c>
      <c r="J85" s="25">
        <v>0.0</v>
      </c>
      <c r="K85" s="25">
        <f t="shared" si="7"/>
        <v>0</v>
      </c>
    </row>
    <row r="86" hidden="1">
      <c r="A86" s="71" t="s">
        <v>227</v>
      </c>
      <c r="B86" s="77" t="s">
        <v>253</v>
      </c>
      <c r="C86" s="34" t="s">
        <v>233</v>
      </c>
      <c r="D86" s="34" t="s">
        <v>254</v>
      </c>
      <c r="E86" s="27" t="s">
        <v>255</v>
      </c>
      <c r="F86" s="22" t="s">
        <v>184</v>
      </c>
      <c r="G86" s="22" t="s">
        <v>63</v>
      </c>
      <c r="H86" s="23">
        <v>235.0</v>
      </c>
      <c r="I86" s="33" t="s">
        <v>64</v>
      </c>
      <c r="J86" s="25">
        <v>0.0</v>
      </c>
      <c r="K86" s="25">
        <f t="shared" si="7"/>
        <v>0</v>
      </c>
    </row>
    <row r="87" hidden="1">
      <c r="A87" s="71" t="s">
        <v>227</v>
      </c>
      <c r="B87" s="26" t="s">
        <v>256</v>
      </c>
      <c r="C87" s="34" t="s">
        <v>233</v>
      </c>
      <c r="D87" s="34" t="s">
        <v>257</v>
      </c>
      <c r="E87" s="27" t="s">
        <v>258</v>
      </c>
      <c r="F87" s="22" t="s">
        <v>184</v>
      </c>
      <c r="G87" s="19" t="s">
        <v>63</v>
      </c>
      <c r="H87" s="23">
        <v>235.0</v>
      </c>
      <c r="I87" s="29" t="s">
        <v>64</v>
      </c>
      <c r="J87" s="25">
        <v>0.0</v>
      </c>
      <c r="K87" s="25">
        <f t="shared" si="7"/>
        <v>0</v>
      </c>
    </row>
    <row r="88" hidden="1">
      <c r="A88" s="71" t="s">
        <v>227</v>
      </c>
      <c r="B88" s="67" t="s">
        <v>259</v>
      </c>
      <c r="C88" s="68" t="s">
        <v>193</v>
      </c>
      <c r="D88" s="34" t="s">
        <v>90</v>
      </c>
      <c r="E88" s="27" t="s">
        <v>260</v>
      </c>
      <c r="F88" s="22" t="s">
        <v>184</v>
      </c>
      <c r="G88" s="22" t="s">
        <v>63</v>
      </c>
      <c r="H88" s="23">
        <v>235.0</v>
      </c>
      <c r="I88" s="76">
        <v>5.0</v>
      </c>
      <c r="J88" s="25">
        <v>0.0</v>
      </c>
      <c r="K88" s="25">
        <f t="shared" si="7"/>
        <v>0</v>
      </c>
    </row>
    <row r="89" hidden="1">
      <c r="A89" s="71" t="s">
        <v>227</v>
      </c>
      <c r="B89" s="67" t="s">
        <v>261</v>
      </c>
      <c r="C89" s="73" t="s">
        <v>233</v>
      </c>
      <c r="D89" s="34" t="s">
        <v>244</v>
      </c>
      <c r="E89" s="27" t="s">
        <v>262</v>
      </c>
      <c r="F89" s="22" t="s">
        <v>184</v>
      </c>
      <c r="G89" s="22" t="s">
        <v>19</v>
      </c>
      <c r="H89" s="23">
        <v>249.0</v>
      </c>
      <c r="I89" s="29" t="s">
        <v>64</v>
      </c>
      <c r="J89" s="25">
        <v>0.0</v>
      </c>
      <c r="K89" s="25">
        <f t="shared" si="7"/>
        <v>0</v>
      </c>
    </row>
    <row r="90" hidden="1">
      <c r="A90" s="78" t="s">
        <v>227</v>
      </c>
      <c r="B90" s="32" t="s">
        <v>263</v>
      </c>
      <c r="C90" s="34" t="s">
        <v>233</v>
      </c>
      <c r="D90" s="34" t="s">
        <v>264</v>
      </c>
      <c r="E90" s="27" t="s">
        <v>265</v>
      </c>
      <c r="F90" s="22" t="s">
        <v>184</v>
      </c>
      <c r="G90" s="19" t="s">
        <v>63</v>
      </c>
      <c r="H90" s="23">
        <v>235.0</v>
      </c>
      <c r="I90" s="29" t="s">
        <v>64</v>
      </c>
      <c r="J90" s="25">
        <v>0.0</v>
      </c>
      <c r="K90" s="25">
        <f t="shared" si="7"/>
        <v>0</v>
      </c>
    </row>
    <row r="91">
      <c r="A91" s="71" t="s">
        <v>227</v>
      </c>
      <c r="B91" s="67" t="s">
        <v>266</v>
      </c>
      <c r="C91" s="68" t="s">
        <v>193</v>
      </c>
      <c r="D91" s="34" t="s">
        <v>119</v>
      </c>
      <c r="E91" s="27" t="s">
        <v>267</v>
      </c>
      <c r="F91" s="22" t="s">
        <v>184</v>
      </c>
      <c r="G91" s="22" t="s">
        <v>19</v>
      </c>
      <c r="H91" s="23">
        <v>249.0</v>
      </c>
      <c r="I91" s="29" t="s">
        <v>64</v>
      </c>
      <c r="J91" s="25">
        <v>12.0</v>
      </c>
      <c r="K91" s="25">
        <f t="shared" si="7"/>
        <v>2988</v>
      </c>
    </row>
    <row r="92" hidden="1">
      <c r="A92" s="71" t="s">
        <v>227</v>
      </c>
      <c r="B92" s="32" t="s">
        <v>268</v>
      </c>
      <c r="C92" s="34" t="s">
        <v>269</v>
      </c>
      <c r="D92" s="34" t="s">
        <v>270</v>
      </c>
      <c r="E92" s="27" t="s">
        <v>271</v>
      </c>
      <c r="F92" s="22" t="s">
        <v>184</v>
      </c>
      <c r="G92" s="19" t="s">
        <v>63</v>
      </c>
      <c r="H92" s="23">
        <v>229.0</v>
      </c>
      <c r="I92" s="33" t="s">
        <v>64</v>
      </c>
      <c r="J92" s="25">
        <v>0.0</v>
      </c>
      <c r="K92" s="25">
        <f t="shared" si="7"/>
        <v>0</v>
      </c>
    </row>
    <row r="93" ht="43.5" hidden="1" customHeight="1">
      <c r="A93" s="71" t="s">
        <v>227</v>
      </c>
      <c r="B93" s="32" t="s">
        <v>272</v>
      </c>
      <c r="C93" s="34" t="s">
        <v>193</v>
      </c>
      <c r="D93" s="34" t="s">
        <v>240</v>
      </c>
      <c r="E93" s="27" t="s">
        <v>273</v>
      </c>
      <c r="F93" s="22" t="s">
        <v>184</v>
      </c>
      <c r="G93" s="19" t="s">
        <v>63</v>
      </c>
      <c r="H93" s="23">
        <v>239.0</v>
      </c>
      <c r="I93" s="76">
        <v>1.0</v>
      </c>
      <c r="J93" s="25">
        <v>0.0</v>
      </c>
      <c r="K93" s="25">
        <f t="shared" si="7"/>
        <v>0</v>
      </c>
    </row>
    <row r="94">
      <c r="A94" s="71" t="s">
        <v>227</v>
      </c>
      <c r="B94" s="67" t="s">
        <v>274</v>
      </c>
      <c r="C94" s="74" t="s">
        <v>275</v>
      </c>
      <c r="D94" s="34" t="s">
        <v>276</v>
      </c>
      <c r="E94" s="27" t="s">
        <v>277</v>
      </c>
      <c r="F94" s="22" t="s">
        <v>278</v>
      </c>
      <c r="G94" s="22" t="s">
        <v>19</v>
      </c>
      <c r="H94" s="23">
        <v>215.0</v>
      </c>
      <c r="I94" s="29" t="s">
        <v>64</v>
      </c>
      <c r="J94" s="25">
        <v>12.0</v>
      </c>
      <c r="K94" s="25">
        <f t="shared" si="7"/>
        <v>2580</v>
      </c>
    </row>
    <row r="95" hidden="1">
      <c r="A95" s="71" t="s">
        <v>227</v>
      </c>
      <c r="B95" s="31" t="s">
        <v>279</v>
      </c>
      <c r="C95" s="19" t="s">
        <v>243</v>
      </c>
      <c r="D95" s="19" t="s">
        <v>90</v>
      </c>
      <c r="E95" s="20" t="s">
        <v>280</v>
      </c>
      <c r="F95" s="22" t="s">
        <v>184</v>
      </c>
      <c r="G95" s="22" t="s">
        <v>19</v>
      </c>
      <c r="H95" s="40">
        <v>255.0</v>
      </c>
      <c r="I95" s="29" t="s">
        <v>64</v>
      </c>
      <c r="J95" s="25">
        <v>0.0</v>
      </c>
      <c r="K95" s="25">
        <f t="shared" si="7"/>
        <v>0</v>
      </c>
    </row>
    <row r="96" hidden="1">
      <c r="A96" s="37" t="s">
        <v>227</v>
      </c>
      <c r="B96" s="31" t="s">
        <v>281</v>
      </c>
      <c r="C96" s="18" t="s">
        <v>282</v>
      </c>
      <c r="D96" s="19" t="s">
        <v>283</v>
      </c>
      <c r="E96" s="20" t="s">
        <v>284</v>
      </c>
      <c r="F96" s="22" t="s">
        <v>184</v>
      </c>
      <c r="G96" s="19" t="s">
        <v>63</v>
      </c>
      <c r="H96" s="23">
        <v>175.0</v>
      </c>
      <c r="I96" s="76">
        <v>12.0</v>
      </c>
      <c r="J96" s="25">
        <v>0.0</v>
      </c>
      <c r="K96" s="25">
        <f t="shared" si="7"/>
        <v>0</v>
      </c>
    </row>
    <row r="97" hidden="1">
      <c r="A97" s="71" t="s">
        <v>227</v>
      </c>
      <c r="B97" s="67" t="s">
        <v>285</v>
      </c>
      <c r="C97" s="68" t="s">
        <v>286</v>
      </c>
      <c r="D97" s="34" t="s">
        <v>287</v>
      </c>
      <c r="E97" s="27" t="s">
        <v>288</v>
      </c>
      <c r="F97" s="22" t="s">
        <v>184</v>
      </c>
      <c r="G97" s="34" t="s">
        <v>289</v>
      </c>
      <c r="H97" s="23">
        <v>245.0</v>
      </c>
      <c r="I97" s="29" t="s">
        <v>64</v>
      </c>
      <c r="J97" s="25">
        <v>0.0</v>
      </c>
      <c r="K97" s="25">
        <f t="shared" si="7"/>
        <v>0</v>
      </c>
    </row>
    <row r="98" hidden="1">
      <c r="A98" s="71" t="s">
        <v>227</v>
      </c>
      <c r="B98" s="67" t="s">
        <v>290</v>
      </c>
      <c r="C98" s="68" t="s">
        <v>291</v>
      </c>
      <c r="D98" s="34" t="s">
        <v>292</v>
      </c>
      <c r="E98" s="27" t="s">
        <v>293</v>
      </c>
      <c r="F98" s="22" t="s">
        <v>184</v>
      </c>
      <c r="G98" s="34" t="s">
        <v>294</v>
      </c>
      <c r="H98" s="23">
        <v>189.0</v>
      </c>
      <c r="I98" s="29" t="s">
        <v>64</v>
      </c>
      <c r="J98" s="25">
        <v>0.0</v>
      </c>
      <c r="K98" s="25">
        <f t="shared" si="7"/>
        <v>0</v>
      </c>
    </row>
    <row r="99" hidden="1">
      <c r="A99" s="71" t="s">
        <v>227</v>
      </c>
      <c r="B99" s="77" t="s">
        <v>295</v>
      </c>
      <c r="C99" s="19" t="s">
        <v>296</v>
      </c>
      <c r="D99" s="34" t="s">
        <v>194</v>
      </c>
      <c r="E99" s="27" t="s">
        <v>297</v>
      </c>
      <c r="F99" s="22" t="s">
        <v>184</v>
      </c>
      <c r="G99" s="22" t="s">
        <v>19</v>
      </c>
      <c r="H99" s="23">
        <v>235.0</v>
      </c>
      <c r="I99" s="33" t="s">
        <v>64</v>
      </c>
      <c r="J99" s="25">
        <v>0.0</v>
      </c>
      <c r="K99" s="25">
        <f t="shared" si="7"/>
        <v>0</v>
      </c>
    </row>
    <row r="100" hidden="1">
      <c r="A100" s="71" t="s">
        <v>227</v>
      </c>
      <c r="B100" s="67" t="s">
        <v>298</v>
      </c>
      <c r="C100" s="19" t="s">
        <v>296</v>
      </c>
      <c r="D100" s="34" t="s">
        <v>194</v>
      </c>
      <c r="E100" s="27" t="s">
        <v>299</v>
      </c>
      <c r="F100" s="22" t="s">
        <v>184</v>
      </c>
      <c r="G100" s="22" t="s">
        <v>19</v>
      </c>
      <c r="H100" s="23">
        <v>255.0</v>
      </c>
      <c r="I100" s="24" t="s">
        <v>20</v>
      </c>
      <c r="J100" s="25">
        <v>0.0</v>
      </c>
      <c r="K100" s="25">
        <f t="shared" si="7"/>
        <v>0</v>
      </c>
    </row>
    <row r="101" hidden="1">
      <c r="A101" s="71" t="s">
        <v>227</v>
      </c>
      <c r="B101" s="67" t="s">
        <v>300</v>
      </c>
      <c r="C101" s="19" t="s">
        <v>296</v>
      </c>
      <c r="D101" s="34" t="s">
        <v>194</v>
      </c>
      <c r="E101" s="27" t="s">
        <v>301</v>
      </c>
      <c r="F101" s="22" t="s">
        <v>184</v>
      </c>
      <c r="G101" s="22" t="s">
        <v>19</v>
      </c>
      <c r="H101" s="23">
        <v>235.0</v>
      </c>
      <c r="I101" s="33" t="s">
        <v>64</v>
      </c>
      <c r="J101" s="25">
        <v>0.0</v>
      </c>
      <c r="K101" s="25">
        <f t="shared" si="7"/>
        <v>0</v>
      </c>
    </row>
    <row r="102" hidden="1">
      <c r="A102" s="71" t="s">
        <v>227</v>
      </c>
      <c r="B102" s="67" t="s">
        <v>302</v>
      </c>
      <c r="C102" s="19" t="s">
        <v>296</v>
      </c>
      <c r="D102" s="34" t="s">
        <v>194</v>
      </c>
      <c r="E102" s="27" t="s">
        <v>303</v>
      </c>
      <c r="F102" s="22" t="s">
        <v>184</v>
      </c>
      <c r="G102" s="22" t="s">
        <v>19</v>
      </c>
      <c r="H102" s="23">
        <v>235.0</v>
      </c>
      <c r="I102" s="33" t="s">
        <v>64</v>
      </c>
      <c r="J102" s="25">
        <v>0.0</v>
      </c>
      <c r="K102" s="25">
        <f t="shared" si="7"/>
        <v>0</v>
      </c>
    </row>
    <row r="103" ht="35.25" hidden="1" customHeight="1">
      <c r="A103" s="71" t="s">
        <v>227</v>
      </c>
      <c r="B103" s="32" t="s">
        <v>304</v>
      </c>
      <c r="C103" s="34" t="s">
        <v>193</v>
      </c>
      <c r="D103" s="34" t="s">
        <v>251</v>
      </c>
      <c r="E103" s="27" t="s">
        <v>305</v>
      </c>
      <c r="F103" s="22" t="s">
        <v>184</v>
      </c>
      <c r="G103" s="19" t="s">
        <v>63</v>
      </c>
      <c r="H103" s="23">
        <v>265.0</v>
      </c>
      <c r="I103" s="33" t="s">
        <v>64</v>
      </c>
      <c r="J103" s="25">
        <v>0.0</v>
      </c>
      <c r="K103" s="25">
        <f t="shared" si="7"/>
        <v>0</v>
      </c>
    </row>
    <row r="104" hidden="1">
      <c r="A104" s="71" t="s">
        <v>227</v>
      </c>
      <c r="B104" s="32" t="s">
        <v>306</v>
      </c>
      <c r="C104" s="34" t="s">
        <v>307</v>
      </c>
      <c r="D104" s="34" t="s">
        <v>308</v>
      </c>
      <c r="E104" s="27" t="s">
        <v>309</v>
      </c>
      <c r="F104" s="22" t="s">
        <v>184</v>
      </c>
      <c r="G104" s="22" t="s">
        <v>19</v>
      </c>
      <c r="H104" s="23">
        <v>189.0</v>
      </c>
      <c r="I104" s="29" t="s">
        <v>64</v>
      </c>
      <c r="J104" s="25">
        <v>0.0</v>
      </c>
      <c r="K104" s="25">
        <f t="shared" si="7"/>
        <v>0</v>
      </c>
    </row>
    <row r="105">
      <c r="A105" s="71" t="s">
        <v>227</v>
      </c>
      <c r="B105" s="26" t="s">
        <v>310</v>
      </c>
      <c r="C105" s="34" t="s">
        <v>239</v>
      </c>
      <c r="D105" s="34" t="s">
        <v>240</v>
      </c>
      <c r="E105" s="27" t="s">
        <v>311</v>
      </c>
      <c r="F105" s="22" t="s">
        <v>312</v>
      </c>
      <c r="G105" s="22" t="s">
        <v>19</v>
      </c>
      <c r="H105" s="23">
        <v>205.0</v>
      </c>
      <c r="I105" s="33" t="s">
        <v>64</v>
      </c>
      <c r="J105" s="25">
        <v>12.0</v>
      </c>
      <c r="K105" s="25">
        <f t="shared" si="7"/>
        <v>2460</v>
      </c>
    </row>
    <row r="106" hidden="1">
      <c r="A106" s="58" t="s">
        <v>313</v>
      </c>
      <c r="B106" s="13"/>
      <c r="C106" s="13"/>
      <c r="D106" s="13"/>
      <c r="E106" s="13"/>
      <c r="F106" s="13"/>
      <c r="G106" s="13"/>
      <c r="H106" s="13"/>
      <c r="I106" s="14"/>
      <c r="J106" s="59"/>
      <c r="K106" s="59"/>
    </row>
    <row r="107">
      <c r="A107" s="37" t="s">
        <v>314</v>
      </c>
      <c r="B107" s="31" t="s">
        <v>315</v>
      </c>
      <c r="C107" s="19" t="s">
        <v>34</v>
      </c>
      <c r="D107" s="19" t="s">
        <v>316</v>
      </c>
      <c r="E107" s="20" t="s">
        <v>317</v>
      </c>
      <c r="F107" s="22" t="s">
        <v>105</v>
      </c>
      <c r="G107" s="19" t="s">
        <v>63</v>
      </c>
      <c r="H107" s="40">
        <v>199.0</v>
      </c>
      <c r="I107" s="33" t="s">
        <v>64</v>
      </c>
      <c r="J107" s="25">
        <v>10.0</v>
      </c>
      <c r="K107" s="25">
        <f t="shared" ref="K107:K130" si="8">PRODUCT(H107,J107)</f>
        <v>1990</v>
      </c>
    </row>
    <row r="108" hidden="1">
      <c r="A108" s="37" t="s">
        <v>314</v>
      </c>
      <c r="B108" s="31" t="s">
        <v>318</v>
      </c>
      <c r="C108" s="79" t="s">
        <v>239</v>
      </c>
      <c r="D108" s="79" t="s">
        <v>319</v>
      </c>
      <c r="E108" s="80" t="s">
        <v>320</v>
      </c>
      <c r="F108" s="62" t="s">
        <v>18</v>
      </c>
      <c r="G108" s="79" t="s">
        <v>63</v>
      </c>
      <c r="H108" s="47">
        <v>199.0</v>
      </c>
      <c r="I108" s="51" t="s">
        <v>64</v>
      </c>
      <c r="J108" s="25">
        <v>0.0</v>
      </c>
      <c r="K108" s="25">
        <f t="shared" si="8"/>
        <v>0</v>
      </c>
    </row>
    <row r="109" hidden="1">
      <c r="A109" s="37" t="s">
        <v>314</v>
      </c>
      <c r="B109" s="31" t="s">
        <v>321</v>
      </c>
      <c r="C109" s="19" t="s">
        <v>193</v>
      </c>
      <c r="D109" s="19" t="s">
        <v>322</v>
      </c>
      <c r="E109" s="20" t="s">
        <v>323</v>
      </c>
      <c r="F109" s="22" t="s">
        <v>18</v>
      </c>
      <c r="G109" s="19" t="s">
        <v>63</v>
      </c>
      <c r="H109" s="40">
        <v>195.0</v>
      </c>
      <c r="I109" s="48">
        <v>3.0</v>
      </c>
      <c r="J109" s="25">
        <v>0.0</v>
      </c>
      <c r="K109" s="25">
        <f t="shared" si="8"/>
        <v>0</v>
      </c>
    </row>
    <row r="110" hidden="1">
      <c r="A110" s="37" t="s">
        <v>314</v>
      </c>
      <c r="B110" s="17" t="s">
        <v>324</v>
      </c>
      <c r="C110" s="19" t="s">
        <v>239</v>
      </c>
      <c r="D110" s="19" t="s">
        <v>325</v>
      </c>
      <c r="E110" s="20" t="s">
        <v>326</v>
      </c>
      <c r="F110" s="22" t="s">
        <v>18</v>
      </c>
      <c r="G110" s="19" t="s">
        <v>63</v>
      </c>
      <c r="H110" s="40">
        <v>195.0</v>
      </c>
      <c r="I110" s="51" t="s">
        <v>64</v>
      </c>
      <c r="J110" s="25">
        <v>0.0</v>
      </c>
      <c r="K110" s="25">
        <f t="shared" si="8"/>
        <v>0</v>
      </c>
    </row>
    <row r="111" hidden="1">
      <c r="A111" s="37" t="s">
        <v>314</v>
      </c>
      <c r="B111" s="17" t="s">
        <v>327</v>
      </c>
      <c r="C111" s="79" t="s">
        <v>239</v>
      </c>
      <c r="D111" s="79" t="s">
        <v>325</v>
      </c>
      <c r="E111" s="80" t="s">
        <v>328</v>
      </c>
      <c r="F111" s="62" t="s">
        <v>18</v>
      </c>
      <c r="G111" s="79" t="s">
        <v>63</v>
      </c>
      <c r="H111" s="47">
        <v>195.0</v>
      </c>
      <c r="I111" s="51" t="s">
        <v>64</v>
      </c>
      <c r="J111" s="25">
        <v>0.0</v>
      </c>
      <c r="K111" s="25">
        <f t="shared" si="8"/>
        <v>0</v>
      </c>
    </row>
    <row r="112" hidden="1">
      <c r="A112" s="37" t="s">
        <v>314</v>
      </c>
      <c r="B112" s="17" t="s">
        <v>329</v>
      </c>
      <c r="C112" s="79" t="s">
        <v>193</v>
      </c>
      <c r="D112" s="79" t="s">
        <v>330</v>
      </c>
      <c r="E112" s="80" t="s">
        <v>331</v>
      </c>
      <c r="F112" s="62" t="s">
        <v>18</v>
      </c>
      <c r="G112" s="79" t="s">
        <v>63</v>
      </c>
      <c r="H112" s="47">
        <v>215.0</v>
      </c>
      <c r="I112" s="51" t="s">
        <v>64</v>
      </c>
      <c r="J112" s="25">
        <v>0.0</v>
      </c>
      <c r="K112" s="25">
        <f t="shared" si="8"/>
        <v>0</v>
      </c>
    </row>
    <row r="113" hidden="1">
      <c r="A113" s="37" t="s">
        <v>314</v>
      </c>
      <c r="B113" s="28" t="s">
        <v>332</v>
      </c>
      <c r="C113" s="19" t="s">
        <v>296</v>
      </c>
      <c r="D113" s="19" t="s">
        <v>333</v>
      </c>
      <c r="E113" s="20" t="s">
        <v>334</v>
      </c>
      <c r="F113" s="22" t="s">
        <v>105</v>
      </c>
      <c r="G113" s="19" t="s">
        <v>63</v>
      </c>
      <c r="H113" s="40">
        <v>219.0</v>
      </c>
      <c r="I113" s="76">
        <v>9.0</v>
      </c>
      <c r="J113" s="25">
        <v>0.0</v>
      </c>
      <c r="K113" s="25">
        <f t="shared" si="8"/>
        <v>0</v>
      </c>
    </row>
    <row r="114" hidden="1">
      <c r="A114" s="37" t="s">
        <v>314</v>
      </c>
      <c r="B114" s="17" t="s">
        <v>335</v>
      </c>
      <c r="C114" s="79" t="s">
        <v>193</v>
      </c>
      <c r="D114" s="79" t="s">
        <v>330</v>
      </c>
      <c r="E114" s="80" t="s">
        <v>336</v>
      </c>
      <c r="F114" s="62" t="s">
        <v>18</v>
      </c>
      <c r="G114" s="79" t="s">
        <v>63</v>
      </c>
      <c r="H114" s="47">
        <v>215.0</v>
      </c>
      <c r="I114" s="51" t="s">
        <v>64</v>
      </c>
      <c r="J114" s="25">
        <v>0.0</v>
      </c>
      <c r="K114" s="25">
        <f t="shared" si="8"/>
        <v>0</v>
      </c>
    </row>
    <row r="115" hidden="1">
      <c r="A115" s="37" t="s">
        <v>314</v>
      </c>
      <c r="B115" s="28" t="s">
        <v>337</v>
      </c>
      <c r="C115" s="19" t="s">
        <v>296</v>
      </c>
      <c r="D115" s="19" t="s">
        <v>333</v>
      </c>
      <c r="E115" s="20" t="s">
        <v>338</v>
      </c>
      <c r="F115" s="22" t="s">
        <v>105</v>
      </c>
      <c r="G115" s="19" t="s">
        <v>63</v>
      </c>
      <c r="H115" s="40">
        <v>209.0</v>
      </c>
      <c r="I115" s="33" t="s">
        <v>64</v>
      </c>
      <c r="J115" s="25">
        <v>0.0</v>
      </c>
      <c r="K115" s="25">
        <f t="shared" si="8"/>
        <v>0</v>
      </c>
    </row>
    <row r="116">
      <c r="A116" s="37" t="s">
        <v>314</v>
      </c>
      <c r="B116" s="31" t="s">
        <v>339</v>
      </c>
      <c r="C116" s="79" t="s">
        <v>34</v>
      </c>
      <c r="D116" s="79" t="s">
        <v>340</v>
      </c>
      <c r="E116" s="80" t="s">
        <v>341</v>
      </c>
      <c r="F116" s="62" t="s">
        <v>18</v>
      </c>
      <c r="G116" s="79" t="s">
        <v>63</v>
      </c>
      <c r="H116" s="52">
        <v>205.0</v>
      </c>
      <c r="I116" s="51" t="s">
        <v>64</v>
      </c>
      <c r="J116" s="25">
        <v>10.0</v>
      </c>
      <c r="K116" s="25">
        <f t="shared" si="8"/>
        <v>2050</v>
      </c>
    </row>
    <row r="117" hidden="1">
      <c r="A117" s="37" t="s">
        <v>314</v>
      </c>
      <c r="B117" s="17" t="s">
        <v>342</v>
      </c>
      <c r="C117" s="4" t="s">
        <v>233</v>
      </c>
      <c r="D117" s="4" t="s">
        <v>343</v>
      </c>
      <c r="E117" s="81" t="s">
        <v>344</v>
      </c>
      <c r="F117" s="46" t="s">
        <v>345</v>
      </c>
      <c r="G117" s="4" t="s">
        <v>63</v>
      </c>
      <c r="H117" s="52">
        <v>179.0</v>
      </c>
      <c r="I117" s="51" t="s">
        <v>64</v>
      </c>
      <c r="J117" s="25">
        <v>0.0</v>
      </c>
      <c r="K117" s="25">
        <f t="shared" si="8"/>
        <v>0</v>
      </c>
    </row>
    <row r="118" hidden="1">
      <c r="A118" s="37" t="s">
        <v>314</v>
      </c>
      <c r="B118" s="31" t="s">
        <v>346</v>
      </c>
      <c r="C118" s="19" t="s">
        <v>233</v>
      </c>
      <c r="D118" s="19" t="s">
        <v>347</v>
      </c>
      <c r="E118" s="20" t="s">
        <v>348</v>
      </c>
      <c r="F118" s="22" t="s">
        <v>18</v>
      </c>
      <c r="G118" s="19" t="s">
        <v>63</v>
      </c>
      <c r="H118" s="40">
        <v>189.0</v>
      </c>
      <c r="I118" s="33" t="s">
        <v>64</v>
      </c>
      <c r="J118" s="25">
        <v>0.0</v>
      </c>
      <c r="K118" s="25">
        <f t="shared" si="8"/>
        <v>0</v>
      </c>
    </row>
    <row r="119" hidden="1">
      <c r="A119" s="37" t="s">
        <v>314</v>
      </c>
      <c r="B119" s="17" t="s">
        <v>349</v>
      </c>
      <c r="C119" s="19" t="s">
        <v>233</v>
      </c>
      <c r="D119" s="19" t="s">
        <v>350</v>
      </c>
      <c r="E119" s="20" t="s">
        <v>351</v>
      </c>
      <c r="F119" s="22" t="s">
        <v>18</v>
      </c>
      <c r="G119" s="19" t="s">
        <v>63</v>
      </c>
      <c r="H119" s="40">
        <v>205.0</v>
      </c>
      <c r="I119" s="51" t="s">
        <v>64</v>
      </c>
      <c r="J119" s="25">
        <v>0.0</v>
      </c>
      <c r="K119" s="25">
        <f t="shared" si="8"/>
        <v>0</v>
      </c>
    </row>
    <row r="120" hidden="1">
      <c r="A120" s="37" t="s">
        <v>314</v>
      </c>
      <c r="B120" s="17" t="s">
        <v>352</v>
      </c>
      <c r="C120" s="4" t="s">
        <v>233</v>
      </c>
      <c r="D120" s="4" t="s">
        <v>353</v>
      </c>
      <c r="E120" s="81" t="s">
        <v>354</v>
      </c>
      <c r="F120" s="46" t="s">
        <v>18</v>
      </c>
      <c r="G120" s="4" t="s">
        <v>63</v>
      </c>
      <c r="H120" s="52">
        <v>189.0</v>
      </c>
      <c r="I120" s="51" t="s">
        <v>64</v>
      </c>
      <c r="J120" s="25">
        <v>0.0</v>
      </c>
      <c r="K120" s="25">
        <f t="shared" si="8"/>
        <v>0</v>
      </c>
    </row>
    <row r="121" hidden="1">
      <c r="A121" s="37" t="s">
        <v>314</v>
      </c>
      <c r="B121" s="17" t="s">
        <v>355</v>
      </c>
      <c r="C121" s="4" t="s">
        <v>233</v>
      </c>
      <c r="D121" s="4" t="s">
        <v>353</v>
      </c>
      <c r="E121" s="81" t="s">
        <v>356</v>
      </c>
      <c r="F121" s="46" t="s">
        <v>18</v>
      </c>
      <c r="G121" s="4" t="s">
        <v>63</v>
      </c>
      <c r="H121" s="52">
        <v>189.0</v>
      </c>
      <c r="I121" s="51" t="s">
        <v>64</v>
      </c>
      <c r="J121" s="25">
        <v>0.0</v>
      </c>
      <c r="K121" s="25">
        <f t="shared" si="8"/>
        <v>0</v>
      </c>
    </row>
    <row r="122" hidden="1">
      <c r="A122" s="37" t="s">
        <v>314</v>
      </c>
      <c r="B122" s="17" t="s">
        <v>357</v>
      </c>
      <c r="C122" s="4" t="s">
        <v>233</v>
      </c>
      <c r="D122" s="4" t="s">
        <v>353</v>
      </c>
      <c r="E122" s="81" t="s">
        <v>358</v>
      </c>
      <c r="F122" s="46" t="s">
        <v>18</v>
      </c>
      <c r="G122" s="4" t="s">
        <v>63</v>
      </c>
      <c r="H122" s="52">
        <v>189.0</v>
      </c>
      <c r="I122" s="51" t="s">
        <v>64</v>
      </c>
      <c r="J122" s="25">
        <v>0.0</v>
      </c>
      <c r="K122" s="25">
        <f t="shared" si="8"/>
        <v>0</v>
      </c>
    </row>
    <row r="123" hidden="1">
      <c r="A123" s="37" t="s">
        <v>314</v>
      </c>
      <c r="B123" s="17" t="s">
        <v>359</v>
      </c>
      <c r="C123" s="19" t="s">
        <v>233</v>
      </c>
      <c r="D123" s="19" t="s">
        <v>353</v>
      </c>
      <c r="E123" s="20" t="s">
        <v>360</v>
      </c>
      <c r="F123" s="22" t="s">
        <v>18</v>
      </c>
      <c r="G123" s="19" t="s">
        <v>63</v>
      </c>
      <c r="H123" s="40">
        <v>205.0</v>
      </c>
      <c r="I123" s="51" t="s">
        <v>64</v>
      </c>
      <c r="J123" s="25">
        <v>0.0</v>
      </c>
      <c r="K123" s="25">
        <f t="shared" si="8"/>
        <v>0</v>
      </c>
    </row>
    <row r="124" hidden="1">
      <c r="A124" s="37" t="s">
        <v>314</v>
      </c>
      <c r="B124" s="17" t="s">
        <v>361</v>
      </c>
      <c r="C124" s="4" t="s">
        <v>233</v>
      </c>
      <c r="D124" s="4" t="s">
        <v>347</v>
      </c>
      <c r="E124" s="81" t="s">
        <v>362</v>
      </c>
      <c r="F124" s="46" t="s">
        <v>18</v>
      </c>
      <c r="G124" s="4" t="s">
        <v>63</v>
      </c>
      <c r="H124" s="52">
        <v>189.0</v>
      </c>
      <c r="I124" s="51" t="s">
        <v>64</v>
      </c>
      <c r="J124" s="25">
        <v>0.0</v>
      </c>
      <c r="K124" s="25">
        <f t="shared" si="8"/>
        <v>0</v>
      </c>
    </row>
    <row r="125" hidden="1">
      <c r="A125" s="37" t="s">
        <v>314</v>
      </c>
      <c r="B125" s="17" t="s">
        <v>363</v>
      </c>
      <c r="C125" s="19" t="s">
        <v>193</v>
      </c>
      <c r="D125" s="19" t="s">
        <v>364</v>
      </c>
      <c r="E125" s="20" t="s">
        <v>365</v>
      </c>
      <c r="F125" s="22" t="s">
        <v>105</v>
      </c>
      <c r="G125" s="19" t="s">
        <v>63</v>
      </c>
      <c r="H125" s="40">
        <v>195.0</v>
      </c>
      <c r="I125" s="29" t="s">
        <v>64</v>
      </c>
      <c r="J125" s="25">
        <v>0.0</v>
      </c>
      <c r="K125" s="25">
        <f t="shared" si="8"/>
        <v>0</v>
      </c>
    </row>
    <row r="126" hidden="1">
      <c r="A126" s="37" t="s">
        <v>314</v>
      </c>
      <c r="B126" s="31" t="s">
        <v>366</v>
      </c>
      <c r="C126" s="19" t="s">
        <v>307</v>
      </c>
      <c r="D126" s="19" t="s">
        <v>367</v>
      </c>
      <c r="E126" s="20" t="s">
        <v>368</v>
      </c>
      <c r="F126" s="22" t="s">
        <v>105</v>
      </c>
      <c r="G126" s="19" t="s">
        <v>63</v>
      </c>
      <c r="H126" s="40">
        <v>195.0</v>
      </c>
      <c r="I126" s="44" t="s">
        <v>64</v>
      </c>
      <c r="J126" s="25">
        <v>0.0</v>
      </c>
      <c r="K126" s="25">
        <f t="shared" si="8"/>
        <v>0</v>
      </c>
    </row>
    <row r="127" hidden="1">
      <c r="A127" s="37" t="s">
        <v>314</v>
      </c>
      <c r="B127" s="17" t="s">
        <v>369</v>
      </c>
      <c r="C127" s="4" t="s">
        <v>307</v>
      </c>
      <c r="D127" s="4" t="s">
        <v>367</v>
      </c>
      <c r="E127" s="81" t="s">
        <v>370</v>
      </c>
      <c r="F127" s="46" t="s">
        <v>105</v>
      </c>
      <c r="G127" s="4" t="s">
        <v>63</v>
      </c>
      <c r="H127" s="52">
        <v>205.0</v>
      </c>
      <c r="I127" s="51" t="s">
        <v>64</v>
      </c>
      <c r="J127" s="25">
        <v>0.0</v>
      </c>
      <c r="K127" s="25">
        <f t="shared" si="8"/>
        <v>0</v>
      </c>
    </row>
    <row r="128" hidden="1">
      <c r="A128" s="37" t="s">
        <v>314</v>
      </c>
      <c r="B128" s="17" t="s">
        <v>371</v>
      </c>
      <c r="C128" s="4" t="s">
        <v>193</v>
      </c>
      <c r="D128" s="4" t="s">
        <v>372</v>
      </c>
      <c r="E128" s="81" t="s">
        <v>373</v>
      </c>
      <c r="F128" s="46" t="s">
        <v>105</v>
      </c>
      <c r="G128" s="4" t="s">
        <v>63</v>
      </c>
      <c r="H128" s="52">
        <v>229.0</v>
      </c>
      <c r="I128" s="51" t="s">
        <v>64</v>
      </c>
      <c r="J128" s="25">
        <v>0.0</v>
      </c>
      <c r="K128" s="25">
        <f t="shared" si="8"/>
        <v>0</v>
      </c>
    </row>
    <row r="129" hidden="1">
      <c r="A129" s="37" t="s">
        <v>314</v>
      </c>
      <c r="B129" s="31" t="s">
        <v>374</v>
      </c>
      <c r="C129" s="19" t="s">
        <v>193</v>
      </c>
      <c r="D129" s="19" t="s">
        <v>330</v>
      </c>
      <c r="E129" s="20" t="s">
        <v>375</v>
      </c>
      <c r="F129" s="22" t="s">
        <v>18</v>
      </c>
      <c r="G129" s="19" t="s">
        <v>63</v>
      </c>
      <c r="H129" s="40">
        <v>215.0</v>
      </c>
      <c r="I129" s="51" t="s">
        <v>64</v>
      </c>
      <c r="J129" s="25">
        <v>0.0</v>
      </c>
      <c r="K129" s="25">
        <f t="shared" si="8"/>
        <v>0</v>
      </c>
    </row>
    <row r="130" hidden="1">
      <c r="A130" s="37" t="s">
        <v>314</v>
      </c>
      <c r="B130" s="31" t="s">
        <v>376</v>
      </c>
      <c r="C130" s="79" t="s">
        <v>296</v>
      </c>
      <c r="D130" s="79" t="s">
        <v>372</v>
      </c>
      <c r="E130" s="80" t="s">
        <v>377</v>
      </c>
      <c r="F130" s="62" t="s">
        <v>18</v>
      </c>
      <c r="G130" s="79" t="s">
        <v>63</v>
      </c>
      <c r="H130" s="47">
        <v>209.0</v>
      </c>
      <c r="I130" s="44" t="s">
        <v>64</v>
      </c>
      <c r="J130" s="25">
        <v>0.0</v>
      </c>
      <c r="K130" s="25">
        <f t="shared" si="8"/>
        <v>0</v>
      </c>
    </row>
    <row r="131" hidden="1">
      <c r="A131" s="58" t="s">
        <v>378</v>
      </c>
      <c r="B131" s="13"/>
      <c r="C131" s="13"/>
      <c r="D131" s="13"/>
      <c r="E131" s="13"/>
      <c r="F131" s="13"/>
      <c r="G131" s="13"/>
      <c r="H131" s="13"/>
      <c r="I131" s="14"/>
      <c r="J131" s="59"/>
      <c r="K131" s="59"/>
    </row>
    <row r="132" hidden="1">
      <c r="A132" s="37" t="s">
        <v>379</v>
      </c>
      <c r="B132" s="30" t="s">
        <v>380</v>
      </c>
      <c r="C132" s="79" t="s">
        <v>296</v>
      </c>
      <c r="D132" s="79" t="s">
        <v>381</v>
      </c>
      <c r="E132" s="80" t="s">
        <v>382</v>
      </c>
      <c r="F132" s="62" t="s">
        <v>18</v>
      </c>
      <c r="G132" s="79" t="s">
        <v>63</v>
      </c>
      <c r="H132" s="47">
        <v>259.0</v>
      </c>
      <c r="I132" s="48">
        <v>6.0</v>
      </c>
      <c r="J132" s="25">
        <v>0.0</v>
      </c>
      <c r="K132" s="25">
        <f t="shared" ref="K132:K150" si="9">PRODUCT(H132,J132)</f>
        <v>0</v>
      </c>
    </row>
    <row r="133" hidden="1">
      <c r="A133" s="37" t="s">
        <v>379</v>
      </c>
      <c r="B133" s="30" t="s">
        <v>383</v>
      </c>
      <c r="C133" s="19" t="s">
        <v>296</v>
      </c>
      <c r="D133" s="19" t="s">
        <v>381</v>
      </c>
      <c r="E133" s="20" t="s">
        <v>384</v>
      </c>
      <c r="F133" s="22" t="s">
        <v>18</v>
      </c>
      <c r="G133" s="19" t="s">
        <v>63</v>
      </c>
      <c r="H133" s="40">
        <v>249.0</v>
      </c>
      <c r="I133" s="48">
        <v>5.0</v>
      </c>
      <c r="J133" s="25">
        <v>0.0</v>
      </c>
      <c r="K133" s="25">
        <f t="shared" si="9"/>
        <v>0</v>
      </c>
    </row>
    <row r="134" hidden="1">
      <c r="A134" s="37" t="s">
        <v>379</v>
      </c>
      <c r="B134" s="28" t="s">
        <v>385</v>
      </c>
      <c r="C134" s="79" t="s">
        <v>296</v>
      </c>
      <c r="D134" s="79" t="s">
        <v>381</v>
      </c>
      <c r="E134" s="80" t="s">
        <v>386</v>
      </c>
      <c r="F134" s="62" t="s">
        <v>18</v>
      </c>
      <c r="G134" s="79" t="s">
        <v>63</v>
      </c>
      <c r="H134" s="47">
        <v>259.0</v>
      </c>
      <c r="I134" s="48">
        <v>5.0</v>
      </c>
      <c r="J134" s="25">
        <v>0.0</v>
      </c>
      <c r="K134" s="25">
        <f t="shared" si="9"/>
        <v>0</v>
      </c>
    </row>
    <row r="135" hidden="1">
      <c r="A135" s="37" t="s">
        <v>379</v>
      </c>
      <c r="B135" s="28" t="s">
        <v>387</v>
      </c>
      <c r="C135" s="79" t="s">
        <v>296</v>
      </c>
      <c r="D135" s="79" t="s">
        <v>381</v>
      </c>
      <c r="E135" s="80" t="s">
        <v>388</v>
      </c>
      <c r="F135" s="62" t="s">
        <v>18</v>
      </c>
      <c r="G135" s="79" t="s">
        <v>63</v>
      </c>
      <c r="H135" s="47">
        <v>259.0</v>
      </c>
      <c r="I135" s="48">
        <v>5.0</v>
      </c>
      <c r="J135" s="25">
        <v>0.0</v>
      </c>
      <c r="K135" s="25">
        <f t="shared" si="9"/>
        <v>0</v>
      </c>
    </row>
    <row r="136" hidden="1">
      <c r="A136" s="37" t="s">
        <v>379</v>
      </c>
      <c r="B136" s="30" t="s">
        <v>389</v>
      </c>
      <c r="C136" s="19" t="s">
        <v>390</v>
      </c>
      <c r="D136" s="19" t="s">
        <v>381</v>
      </c>
      <c r="E136" s="20" t="s">
        <v>391</v>
      </c>
      <c r="F136" s="22" t="s">
        <v>18</v>
      </c>
      <c r="G136" s="19" t="s">
        <v>63</v>
      </c>
      <c r="H136" s="40">
        <v>249.0</v>
      </c>
      <c r="I136" s="48">
        <v>1.0</v>
      </c>
      <c r="J136" s="25">
        <v>0.0</v>
      </c>
      <c r="K136" s="25">
        <f t="shared" si="9"/>
        <v>0</v>
      </c>
    </row>
    <row r="137" hidden="1">
      <c r="A137" s="37" t="s">
        <v>379</v>
      </c>
      <c r="B137" s="28" t="s">
        <v>392</v>
      </c>
      <c r="C137" s="19" t="s">
        <v>296</v>
      </c>
      <c r="D137" s="19" t="s">
        <v>381</v>
      </c>
      <c r="E137" s="20" t="s">
        <v>393</v>
      </c>
      <c r="F137" s="22" t="s">
        <v>18</v>
      </c>
      <c r="G137" s="19" t="s">
        <v>63</v>
      </c>
      <c r="H137" s="40">
        <v>259.0</v>
      </c>
      <c r="I137" s="44" t="s">
        <v>64</v>
      </c>
      <c r="J137" s="25">
        <v>0.0</v>
      </c>
      <c r="K137" s="25">
        <f t="shared" si="9"/>
        <v>0</v>
      </c>
    </row>
    <row r="138" hidden="1">
      <c r="A138" s="37" t="s">
        <v>379</v>
      </c>
      <c r="B138" s="30" t="s">
        <v>394</v>
      </c>
      <c r="C138" s="79" t="s">
        <v>395</v>
      </c>
      <c r="D138" s="79" t="s">
        <v>381</v>
      </c>
      <c r="E138" s="80" t="s">
        <v>396</v>
      </c>
      <c r="F138" s="62" t="s">
        <v>18</v>
      </c>
      <c r="G138" s="79" t="s">
        <v>63</v>
      </c>
      <c r="H138" s="47">
        <v>299.0</v>
      </c>
      <c r="I138" s="44" t="s">
        <v>64</v>
      </c>
      <c r="J138" s="25">
        <v>0.0</v>
      </c>
      <c r="K138" s="25">
        <f t="shared" si="9"/>
        <v>0</v>
      </c>
    </row>
    <row r="139" hidden="1">
      <c r="A139" s="37" t="s">
        <v>379</v>
      </c>
      <c r="B139" s="28" t="s">
        <v>397</v>
      </c>
      <c r="C139" s="19" t="s">
        <v>296</v>
      </c>
      <c r="D139" s="19" t="s">
        <v>381</v>
      </c>
      <c r="E139" s="20" t="s">
        <v>398</v>
      </c>
      <c r="F139" s="22" t="s">
        <v>18</v>
      </c>
      <c r="G139" s="19" t="s">
        <v>63</v>
      </c>
      <c r="H139" s="40">
        <v>249.0</v>
      </c>
      <c r="I139" s="51" t="s">
        <v>64</v>
      </c>
      <c r="J139" s="25">
        <v>0.0</v>
      </c>
      <c r="K139" s="25">
        <f t="shared" si="9"/>
        <v>0</v>
      </c>
    </row>
    <row r="140" hidden="1">
      <c r="A140" s="37" t="s">
        <v>379</v>
      </c>
      <c r="B140" s="28" t="s">
        <v>399</v>
      </c>
      <c r="C140" s="79" t="s">
        <v>296</v>
      </c>
      <c r="D140" s="79" t="s">
        <v>381</v>
      </c>
      <c r="E140" s="80" t="s">
        <v>400</v>
      </c>
      <c r="F140" s="62" t="s">
        <v>18</v>
      </c>
      <c r="G140" s="79" t="s">
        <v>63</v>
      </c>
      <c r="H140" s="47">
        <v>265.0</v>
      </c>
      <c r="I140" s="48">
        <v>1.0</v>
      </c>
      <c r="J140" s="25">
        <v>0.0</v>
      </c>
      <c r="K140" s="25">
        <f t="shared" si="9"/>
        <v>0</v>
      </c>
    </row>
    <row r="141" hidden="1">
      <c r="A141" s="37" t="s">
        <v>379</v>
      </c>
      <c r="B141" s="28" t="s">
        <v>401</v>
      </c>
      <c r="C141" s="19" t="s">
        <v>296</v>
      </c>
      <c r="D141" s="19" t="s">
        <v>381</v>
      </c>
      <c r="E141" s="20" t="s">
        <v>402</v>
      </c>
      <c r="F141" s="22" t="s">
        <v>18</v>
      </c>
      <c r="G141" s="19" t="s">
        <v>63</v>
      </c>
      <c r="H141" s="40">
        <v>249.0</v>
      </c>
      <c r="I141" s="48">
        <v>6.0</v>
      </c>
      <c r="J141" s="25">
        <v>0.0</v>
      </c>
      <c r="K141" s="25">
        <f t="shared" si="9"/>
        <v>0</v>
      </c>
    </row>
    <row r="142" hidden="1">
      <c r="A142" s="37" t="s">
        <v>379</v>
      </c>
      <c r="B142" s="28" t="s">
        <v>403</v>
      </c>
      <c r="C142" s="79" t="s">
        <v>296</v>
      </c>
      <c r="D142" s="79" t="s">
        <v>381</v>
      </c>
      <c r="E142" s="80" t="s">
        <v>404</v>
      </c>
      <c r="F142" s="62" t="s">
        <v>18</v>
      </c>
      <c r="G142" s="79" t="s">
        <v>63</v>
      </c>
      <c r="H142" s="47">
        <v>265.0</v>
      </c>
      <c r="I142" s="48">
        <v>8.0</v>
      </c>
      <c r="J142" s="25">
        <v>0.0</v>
      </c>
      <c r="K142" s="25">
        <f t="shared" si="9"/>
        <v>0</v>
      </c>
    </row>
    <row r="143" hidden="1">
      <c r="A143" s="37" t="s">
        <v>379</v>
      </c>
      <c r="B143" s="30" t="s">
        <v>405</v>
      </c>
      <c r="C143" s="79" t="s">
        <v>296</v>
      </c>
      <c r="D143" s="79" t="s">
        <v>381</v>
      </c>
      <c r="E143" s="80" t="s">
        <v>406</v>
      </c>
      <c r="F143" s="62" t="s">
        <v>18</v>
      </c>
      <c r="G143" s="79" t="s">
        <v>63</v>
      </c>
      <c r="H143" s="47">
        <v>249.0</v>
      </c>
      <c r="I143" s="44" t="s">
        <v>64</v>
      </c>
      <c r="J143" s="25">
        <v>0.0</v>
      </c>
      <c r="K143" s="25">
        <f t="shared" si="9"/>
        <v>0</v>
      </c>
    </row>
    <row r="144" hidden="1">
      <c r="A144" s="37" t="s">
        <v>379</v>
      </c>
      <c r="B144" s="28" t="s">
        <v>407</v>
      </c>
      <c r="C144" s="19" t="s">
        <v>296</v>
      </c>
      <c r="D144" s="19" t="s">
        <v>381</v>
      </c>
      <c r="E144" s="20" t="s">
        <v>408</v>
      </c>
      <c r="F144" s="22" t="s">
        <v>18</v>
      </c>
      <c r="G144" s="19" t="s">
        <v>63</v>
      </c>
      <c r="H144" s="40">
        <v>249.0</v>
      </c>
      <c r="I144" s="51" t="s">
        <v>64</v>
      </c>
      <c r="J144" s="25">
        <v>0.0</v>
      </c>
      <c r="K144" s="25">
        <f t="shared" si="9"/>
        <v>0</v>
      </c>
    </row>
    <row r="145" hidden="1">
      <c r="A145" s="37" t="s">
        <v>379</v>
      </c>
      <c r="B145" s="28" t="s">
        <v>409</v>
      </c>
      <c r="C145" s="19" t="s">
        <v>296</v>
      </c>
      <c r="D145" s="19" t="s">
        <v>381</v>
      </c>
      <c r="E145" s="20" t="s">
        <v>410</v>
      </c>
      <c r="F145" s="22" t="s">
        <v>18</v>
      </c>
      <c r="G145" s="19" t="s">
        <v>63</v>
      </c>
      <c r="H145" s="40">
        <v>249.0</v>
      </c>
      <c r="I145" s="51" t="s">
        <v>64</v>
      </c>
      <c r="J145" s="25">
        <v>0.0</v>
      </c>
      <c r="K145" s="25">
        <f t="shared" si="9"/>
        <v>0</v>
      </c>
    </row>
    <row r="146" hidden="1">
      <c r="A146" s="37" t="s">
        <v>379</v>
      </c>
      <c r="B146" s="28" t="s">
        <v>411</v>
      </c>
      <c r="C146" s="79" t="s">
        <v>296</v>
      </c>
      <c r="D146" s="79" t="s">
        <v>381</v>
      </c>
      <c r="E146" s="80" t="s">
        <v>412</v>
      </c>
      <c r="F146" s="62" t="s">
        <v>18</v>
      </c>
      <c r="G146" s="79" t="s">
        <v>63</v>
      </c>
      <c r="H146" s="47">
        <v>249.0</v>
      </c>
      <c r="I146" s="48">
        <v>8.0</v>
      </c>
      <c r="J146" s="25">
        <v>0.0</v>
      </c>
      <c r="K146" s="25">
        <f t="shared" si="9"/>
        <v>0</v>
      </c>
    </row>
    <row r="147" hidden="1">
      <c r="A147" s="37" t="s">
        <v>379</v>
      </c>
      <c r="B147" s="28" t="s">
        <v>413</v>
      </c>
      <c r="C147" s="79" t="s">
        <v>296</v>
      </c>
      <c r="D147" s="79" t="s">
        <v>381</v>
      </c>
      <c r="E147" s="80" t="s">
        <v>414</v>
      </c>
      <c r="F147" s="62" t="s">
        <v>18</v>
      </c>
      <c r="G147" s="79" t="s">
        <v>63</v>
      </c>
      <c r="H147" s="47">
        <v>249.0</v>
      </c>
      <c r="I147" s="51" t="s">
        <v>64</v>
      </c>
      <c r="J147" s="25">
        <v>0.0</v>
      </c>
      <c r="K147" s="25">
        <f t="shared" si="9"/>
        <v>0</v>
      </c>
    </row>
    <row r="148" hidden="1">
      <c r="A148" s="37" t="s">
        <v>379</v>
      </c>
      <c r="B148" s="28" t="s">
        <v>415</v>
      </c>
      <c r="C148" s="79" t="s">
        <v>296</v>
      </c>
      <c r="D148" s="79" t="s">
        <v>381</v>
      </c>
      <c r="E148" s="80" t="s">
        <v>416</v>
      </c>
      <c r="F148" s="62" t="s">
        <v>18</v>
      </c>
      <c r="G148" s="79" t="s">
        <v>63</v>
      </c>
      <c r="H148" s="47">
        <v>249.0</v>
      </c>
      <c r="I148" s="51" t="s">
        <v>64</v>
      </c>
      <c r="J148" s="25">
        <v>0.0</v>
      </c>
      <c r="K148" s="25">
        <f t="shared" si="9"/>
        <v>0</v>
      </c>
    </row>
    <row r="149" hidden="1">
      <c r="A149" s="37" t="s">
        <v>379</v>
      </c>
      <c r="B149" s="28" t="s">
        <v>417</v>
      </c>
      <c r="C149" s="79" t="s">
        <v>233</v>
      </c>
      <c r="D149" s="79" t="s">
        <v>381</v>
      </c>
      <c r="E149" s="80" t="s">
        <v>418</v>
      </c>
      <c r="F149" s="62" t="s">
        <v>18</v>
      </c>
      <c r="G149" s="79" t="s">
        <v>63</v>
      </c>
      <c r="H149" s="47">
        <v>215.0</v>
      </c>
      <c r="I149" s="48">
        <v>1.0</v>
      </c>
      <c r="J149" s="25">
        <v>0.0</v>
      </c>
      <c r="K149" s="25">
        <f t="shared" si="9"/>
        <v>0</v>
      </c>
    </row>
    <row r="150" hidden="1">
      <c r="A150" s="37" t="s">
        <v>379</v>
      </c>
      <c r="B150" s="30" t="s">
        <v>419</v>
      </c>
      <c r="C150" s="79" t="s">
        <v>296</v>
      </c>
      <c r="D150" s="79" t="s">
        <v>381</v>
      </c>
      <c r="E150" s="80" t="s">
        <v>420</v>
      </c>
      <c r="F150" s="62" t="s">
        <v>18</v>
      </c>
      <c r="G150" s="79" t="s">
        <v>63</v>
      </c>
      <c r="H150" s="47">
        <v>249.0</v>
      </c>
      <c r="I150" s="44" t="s">
        <v>64</v>
      </c>
      <c r="J150" s="25">
        <v>0.0</v>
      </c>
      <c r="K150" s="25">
        <f t="shared" si="9"/>
        <v>0</v>
      </c>
    </row>
    <row r="151" hidden="1">
      <c r="A151" s="58" t="s">
        <v>421</v>
      </c>
      <c r="B151" s="13"/>
      <c r="C151" s="13"/>
      <c r="D151" s="13"/>
      <c r="E151" s="13"/>
      <c r="F151" s="13"/>
      <c r="G151" s="13"/>
      <c r="H151" s="13"/>
      <c r="I151" s="14"/>
      <c r="J151" s="59"/>
      <c r="K151" s="59"/>
    </row>
    <row r="152" hidden="1">
      <c r="A152" s="37" t="s">
        <v>422</v>
      </c>
      <c r="B152" s="28" t="s">
        <v>423</v>
      </c>
      <c r="C152" s="19" t="s">
        <v>424</v>
      </c>
      <c r="D152" s="19" t="s">
        <v>425</v>
      </c>
      <c r="E152" s="20" t="s">
        <v>426</v>
      </c>
      <c r="F152" s="22" t="s">
        <v>18</v>
      </c>
      <c r="G152" s="19" t="s">
        <v>19</v>
      </c>
      <c r="H152" s="40">
        <v>185.0</v>
      </c>
      <c r="I152" s="29" t="s">
        <v>64</v>
      </c>
      <c r="J152" s="25">
        <v>0.0</v>
      </c>
      <c r="K152" s="25">
        <f t="shared" ref="K152:K165" si="10">PRODUCT(H152,J152)</f>
        <v>0</v>
      </c>
    </row>
    <row r="153" hidden="1">
      <c r="A153" s="37" t="s">
        <v>422</v>
      </c>
      <c r="B153" s="30" t="s">
        <v>427</v>
      </c>
      <c r="C153" s="18" t="s">
        <v>54</v>
      </c>
      <c r="D153" s="19" t="s">
        <v>428</v>
      </c>
      <c r="E153" s="20" t="s">
        <v>429</v>
      </c>
      <c r="F153" s="22" t="s">
        <v>18</v>
      </c>
      <c r="G153" s="19" t="s">
        <v>19</v>
      </c>
      <c r="H153" s="40">
        <v>189.0</v>
      </c>
      <c r="I153" s="29" t="s">
        <v>64</v>
      </c>
      <c r="J153" s="25">
        <v>0.0</v>
      </c>
      <c r="K153" s="25">
        <f t="shared" si="10"/>
        <v>0</v>
      </c>
    </row>
    <row r="154" hidden="1">
      <c r="A154" s="37" t="s">
        <v>422</v>
      </c>
      <c r="B154" s="28" t="s">
        <v>430</v>
      </c>
      <c r="C154" s="18" t="s">
        <v>431</v>
      </c>
      <c r="D154" s="19" t="s">
        <v>432</v>
      </c>
      <c r="E154" s="20" t="s">
        <v>433</v>
      </c>
      <c r="F154" s="22" t="s">
        <v>18</v>
      </c>
      <c r="G154" s="19" t="s">
        <v>19</v>
      </c>
      <c r="H154" s="40">
        <v>195.0</v>
      </c>
      <c r="I154" s="76">
        <v>9.0</v>
      </c>
      <c r="J154" s="25">
        <v>0.0</v>
      </c>
      <c r="K154" s="25">
        <f t="shared" si="10"/>
        <v>0</v>
      </c>
    </row>
    <row r="155" hidden="1">
      <c r="A155" s="37" t="s">
        <v>422</v>
      </c>
      <c r="B155" s="28" t="s">
        <v>434</v>
      </c>
      <c r="C155" s="18" t="s">
        <v>435</v>
      </c>
      <c r="D155" s="19" t="s">
        <v>194</v>
      </c>
      <c r="E155" s="82" t="s">
        <v>436</v>
      </c>
      <c r="F155" s="22" t="s">
        <v>18</v>
      </c>
      <c r="G155" s="19" t="s">
        <v>19</v>
      </c>
      <c r="H155" s="40">
        <v>249.0</v>
      </c>
      <c r="I155" s="51" t="s">
        <v>64</v>
      </c>
      <c r="J155" s="25">
        <v>0.0</v>
      </c>
      <c r="K155" s="25">
        <f t="shared" si="10"/>
        <v>0</v>
      </c>
    </row>
    <row r="156" hidden="1">
      <c r="A156" s="37" t="s">
        <v>422</v>
      </c>
      <c r="B156" s="28" t="s">
        <v>437</v>
      </c>
      <c r="C156" s="18" t="s">
        <v>193</v>
      </c>
      <c r="D156" s="19" t="s">
        <v>194</v>
      </c>
      <c r="E156" s="20" t="s">
        <v>438</v>
      </c>
      <c r="F156" s="22" t="s">
        <v>18</v>
      </c>
      <c r="G156" s="19" t="s">
        <v>19</v>
      </c>
      <c r="H156" s="40">
        <v>239.0</v>
      </c>
      <c r="I156" s="76">
        <v>9.0</v>
      </c>
      <c r="J156" s="25">
        <v>0.0</v>
      </c>
      <c r="K156" s="25">
        <f t="shared" si="10"/>
        <v>0</v>
      </c>
    </row>
    <row r="157">
      <c r="A157" s="37" t="s">
        <v>422</v>
      </c>
      <c r="B157" s="30" t="s">
        <v>439</v>
      </c>
      <c r="C157" s="18" t="s">
        <v>193</v>
      </c>
      <c r="D157" s="19" t="s">
        <v>194</v>
      </c>
      <c r="E157" s="20" t="s">
        <v>440</v>
      </c>
      <c r="F157" s="22" t="s">
        <v>18</v>
      </c>
      <c r="G157" s="19" t="s">
        <v>19</v>
      </c>
      <c r="H157" s="40">
        <v>285.0</v>
      </c>
      <c r="I157" s="51" t="s">
        <v>64</v>
      </c>
      <c r="J157" s="25">
        <v>10.0</v>
      </c>
      <c r="K157" s="25">
        <f t="shared" si="10"/>
        <v>2850</v>
      </c>
    </row>
    <row r="158" hidden="1">
      <c r="A158" s="37" t="s">
        <v>422</v>
      </c>
      <c r="B158" s="28" t="s">
        <v>441</v>
      </c>
      <c r="C158" s="18" t="s">
        <v>216</v>
      </c>
      <c r="D158" s="19" t="s">
        <v>442</v>
      </c>
      <c r="E158" s="82" t="s">
        <v>443</v>
      </c>
      <c r="F158" s="22" t="s">
        <v>18</v>
      </c>
      <c r="G158" s="19" t="s">
        <v>19</v>
      </c>
      <c r="H158" s="40">
        <v>259.0</v>
      </c>
      <c r="I158" s="24" t="s">
        <v>20</v>
      </c>
      <c r="J158" s="25">
        <v>0.0</v>
      </c>
      <c r="K158" s="25">
        <f t="shared" si="10"/>
        <v>0</v>
      </c>
    </row>
    <row r="159" hidden="1">
      <c r="A159" s="37" t="s">
        <v>422</v>
      </c>
      <c r="B159" s="28" t="s">
        <v>444</v>
      </c>
      <c r="C159" s="18" t="s">
        <v>206</v>
      </c>
      <c r="D159" s="19" t="s">
        <v>445</v>
      </c>
      <c r="E159" s="20" t="s">
        <v>446</v>
      </c>
      <c r="F159" s="22" t="s">
        <v>18</v>
      </c>
      <c r="G159" s="19" t="s">
        <v>19</v>
      </c>
      <c r="H159" s="40">
        <v>225.0</v>
      </c>
      <c r="I159" s="51" t="s">
        <v>64</v>
      </c>
      <c r="J159" s="25">
        <v>0.0</v>
      </c>
      <c r="K159" s="25">
        <f t="shared" si="10"/>
        <v>0</v>
      </c>
    </row>
    <row r="160" hidden="1">
      <c r="A160" s="37" t="s">
        <v>422</v>
      </c>
      <c r="B160" s="28" t="s">
        <v>447</v>
      </c>
      <c r="C160" s="18" t="s">
        <v>448</v>
      </c>
      <c r="D160" s="19" t="s">
        <v>449</v>
      </c>
      <c r="E160" s="20" t="s">
        <v>450</v>
      </c>
      <c r="F160" s="22" t="s">
        <v>18</v>
      </c>
      <c r="G160" s="19" t="s">
        <v>19</v>
      </c>
      <c r="H160" s="40">
        <v>279.0</v>
      </c>
      <c r="I160" s="24" t="s">
        <v>20</v>
      </c>
      <c r="J160" s="25">
        <v>0.0</v>
      </c>
      <c r="K160" s="25">
        <f t="shared" si="10"/>
        <v>0</v>
      </c>
    </row>
    <row r="161" hidden="1">
      <c r="A161" s="37" t="s">
        <v>422</v>
      </c>
      <c r="B161" s="28" t="s">
        <v>451</v>
      </c>
      <c r="C161" s="18" t="s">
        <v>452</v>
      </c>
      <c r="D161" s="19" t="s">
        <v>453</v>
      </c>
      <c r="E161" s="82" t="s">
        <v>454</v>
      </c>
      <c r="F161" s="22" t="s">
        <v>18</v>
      </c>
      <c r="G161" s="19" t="s">
        <v>19</v>
      </c>
      <c r="H161" s="40">
        <v>199.0</v>
      </c>
      <c r="I161" s="48">
        <v>3.0</v>
      </c>
      <c r="J161" s="25">
        <v>0.0</v>
      </c>
      <c r="K161" s="25">
        <f t="shared" si="10"/>
        <v>0</v>
      </c>
    </row>
    <row r="162" hidden="1">
      <c r="A162" s="37" t="s">
        <v>422</v>
      </c>
      <c r="B162" s="28" t="s">
        <v>455</v>
      </c>
      <c r="C162" s="18" t="s">
        <v>456</v>
      </c>
      <c r="D162" s="19" t="s">
        <v>457</v>
      </c>
      <c r="E162" s="82" t="s">
        <v>458</v>
      </c>
      <c r="F162" s="22" t="s">
        <v>18</v>
      </c>
      <c r="G162" s="19" t="s">
        <v>19</v>
      </c>
      <c r="H162" s="40">
        <v>265.0</v>
      </c>
      <c r="I162" s="24" t="s">
        <v>20</v>
      </c>
      <c r="J162" s="25">
        <v>0.0</v>
      </c>
      <c r="K162" s="25">
        <f t="shared" si="10"/>
        <v>0</v>
      </c>
    </row>
    <row r="163">
      <c r="A163" s="37" t="s">
        <v>422</v>
      </c>
      <c r="B163" s="28" t="s">
        <v>459</v>
      </c>
      <c r="C163" s="18" t="s">
        <v>460</v>
      </c>
      <c r="D163" s="19" t="s">
        <v>461</v>
      </c>
      <c r="E163" s="82" t="s">
        <v>462</v>
      </c>
      <c r="F163" s="22" t="s">
        <v>18</v>
      </c>
      <c r="G163" s="19" t="s">
        <v>19</v>
      </c>
      <c r="H163" s="40">
        <v>209.0</v>
      </c>
      <c r="I163" s="51" t="s">
        <v>64</v>
      </c>
      <c r="J163" s="25">
        <v>10.0</v>
      </c>
      <c r="K163" s="25">
        <f t="shared" si="10"/>
        <v>2090</v>
      </c>
    </row>
    <row r="164" hidden="1">
      <c r="A164" s="37" t="s">
        <v>422</v>
      </c>
      <c r="B164" s="28" t="s">
        <v>463</v>
      </c>
      <c r="C164" s="79" t="s">
        <v>464</v>
      </c>
      <c r="D164" s="79" t="s">
        <v>465</v>
      </c>
      <c r="E164" s="80" t="s">
        <v>466</v>
      </c>
      <c r="F164" s="62" t="s">
        <v>18</v>
      </c>
      <c r="G164" s="79" t="s">
        <v>19</v>
      </c>
      <c r="H164" s="52">
        <v>235.0</v>
      </c>
      <c r="I164" s="48">
        <v>1.0</v>
      </c>
      <c r="J164" s="25">
        <v>0.0</v>
      </c>
      <c r="K164" s="25">
        <f t="shared" si="10"/>
        <v>0</v>
      </c>
    </row>
    <row r="165" hidden="1">
      <c r="A165" s="37" t="s">
        <v>422</v>
      </c>
      <c r="B165" s="28" t="s">
        <v>467</v>
      </c>
      <c r="C165" s="19" t="s">
        <v>193</v>
      </c>
      <c r="D165" s="19" t="s">
        <v>194</v>
      </c>
      <c r="E165" s="20" t="s">
        <v>468</v>
      </c>
      <c r="F165" s="22" t="s">
        <v>18</v>
      </c>
      <c r="G165" s="19" t="s">
        <v>19</v>
      </c>
      <c r="H165" s="40">
        <v>259.0</v>
      </c>
      <c r="I165" s="48">
        <v>2.0</v>
      </c>
      <c r="J165" s="25">
        <v>0.0</v>
      </c>
      <c r="K165" s="25">
        <f t="shared" si="10"/>
        <v>0</v>
      </c>
    </row>
    <row r="166" hidden="1">
      <c r="A166" s="58" t="s">
        <v>469</v>
      </c>
      <c r="B166" s="13"/>
      <c r="C166" s="13"/>
      <c r="D166" s="13"/>
      <c r="E166" s="13"/>
      <c r="F166" s="13"/>
      <c r="G166" s="13"/>
      <c r="H166" s="13"/>
      <c r="I166" s="14"/>
      <c r="J166" s="59"/>
      <c r="K166" s="59"/>
    </row>
    <row r="167" hidden="1">
      <c r="A167" s="37" t="s">
        <v>470</v>
      </c>
      <c r="B167" s="83" t="s">
        <v>471</v>
      </c>
      <c r="C167" s="22" t="s">
        <v>150</v>
      </c>
      <c r="D167" s="22" t="s">
        <v>251</v>
      </c>
      <c r="E167" s="84" t="s">
        <v>472</v>
      </c>
      <c r="F167" s="22" t="s">
        <v>18</v>
      </c>
      <c r="G167" s="19" t="s">
        <v>63</v>
      </c>
      <c r="H167" s="29">
        <v>289.0</v>
      </c>
      <c r="I167" s="44" t="s">
        <v>64</v>
      </c>
      <c r="J167" s="25">
        <v>0.0</v>
      </c>
      <c r="K167" s="25">
        <f t="shared" ref="K167:K168" si="11">PRODUCT(H167,J167)</f>
        <v>0</v>
      </c>
    </row>
    <row r="168" hidden="1">
      <c r="A168" s="37" t="s">
        <v>470</v>
      </c>
      <c r="B168" s="83" t="s">
        <v>473</v>
      </c>
      <c r="C168" s="22" t="s">
        <v>193</v>
      </c>
      <c r="D168" s="22" t="s">
        <v>474</v>
      </c>
      <c r="E168" s="84" t="s">
        <v>475</v>
      </c>
      <c r="F168" s="22" t="s">
        <v>18</v>
      </c>
      <c r="G168" s="19" t="s">
        <v>63</v>
      </c>
      <c r="H168" s="29">
        <v>289.0</v>
      </c>
      <c r="I168" s="44" t="s">
        <v>64</v>
      </c>
      <c r="J168" s="25">
        <v>0.0</v>
      </c>
      <c r="K168" s="25">
        <f t="shared" si="11"/>
        <v>0</v>
      </c>
    </row>
    <row r="169" hidden="1">
      <c r="A169" s="12" t="s">
        <v>476</v>
      </c>
      <c r="B169" s="13"/>
      <c r="C169" s="13"/>
      <c r="D169" s="13"/>
      <c r="E169" s="13"/>
      <c r="F169" s="13"/>
      <c r="G169" s="13"/>
      <c r="H169" s="13"/>
      <c r="I169" s="14"/>
      <c r="J169" s="15"/>
      <c r="K169" s="15"/>
    </row>
    <row r="170" hidden="1">
      <c r="A170" s="37" t="s">
        <v>477</v>
      </c>
      <c r="B170" s="85" t="s">
        <v>478</v>
      </c>
      <c r="C170" s="21" t="s">
        <v>479</v>
      </c>
      <c r="D170" s="22" t="s">
        <v>276</v>
      </c>
      <c r="E170" s="20" t="s">
        <v>480</v>
      </c>
      <c r="F170" s="86" t="s">
        <v>278</v>
      </c>
      <c r="G170" s="19" t="s">
        <v>63</v>
      </c>
      <c r="H170" s="29">
        <v>219.0</v>
      </c>
      <c r="I170" s="44" t="s">
        <v>64</v>
      </c>
      <c r="J170" s="25">
        <v>0.0</v>
      </c>
      <c r="K170" s="25">
        <f t="shared" ref="K170:K179" si="12">PRODUCT(H170,J170)</f>
        <v>0</v>
      </c>
    </row>
    <row r="171" hidden="1">
      <c r="A171" s="37" t="s">
        <v>477</v>
      </c>
      <c r="B171" s="83" t="s">
        <v>481</v>
      </c>
      <c r="C171" s="21" t="s">
        <v>482</v>
      </c>
      <c r="D171" s="22" t="s">
        <v>483</v>
      </c>
      <c r="E171" s="20" t="s">
        <v>484</v>
      </c>
      <c r="F171" s="22" t="s">
        <v>184</v>
      </c>
      <c r="G171" s="19" t="s">
        <v>63</v>
      </c>
      <c r="H171" s="29">
        <v>215.0</v>
      </c>
      <c r="I171" s="44" t="s">
        <v>64</v>
      </c>
      <c r="J171" s="25">
        <v>0.0</v>
      </c>
      <c r="K171" s="25">
        <f t="shared" si="12"/>
        <v>0</v>
      </c>
    </row>
    <row r="172" hidden="1">
      <c r="A172" s="37" t="s">
        <v>477</v>
      </c>
      <c r="B172" s="83" t="s">
        <v>485</v>
      </c>
      <c r="C172" s="21" t="s">
        <v>141</v>
      </c>
      <c r="D172" s="22" t="s">
        <v>486</v>
      </c>
      <c r="E172" s="20" t="s">
        <v>487</v>
      </c>
      <c r="F172" s="22" t="s">
        <v>184</v>
      </c>
      <c r="G172" s="19" t="s">
        <v>63</v>
      </c>
      <c r="H172" s="29">
        <v>235.0</v>
      </c>
      <c r="I172" s="44" t="s">
        <v>64</v>
      </c>
      <c r="J172" s="25">
        <v>0.0</v>
      </c>
      <c r="K172" s="25">
        <f t="shared" si="12"/>
        <v>0</v>
      </c>
    </row>
    <row r="173" hidden="1">
      <c r="A173" s="37" t="s">
        <v>477</v>
      </c>
      <c r="B173" s="83" t="s">
        <v>488</v>
      </c>
      <c r="C173" s="22" t="s">
        <v>489</v>
      </c>
      <c r="D173" s="22" t="s">
        <v>490</v>
      </c>
      <c r="E173" s="20" t="s">
        <v>491</v>
      </c>
      <c r="F173" s="22" t="s">
        <v>184</v>
      </c>
      <c r="G173" s="19" t="s">
        <v>63</v>
      </c>
      <c r="H173" s="29">
        <v>215.0</v>
      </c>
      <c r="I173" s="44" t="s">
        <v>64</v>
      </c>
      <c r="J173" s="25">
        <v>0.0</v>
      </c>
      <c r="K173" s="25">
        <f t="shared" si="12"/>
        <v>0</v>
      </c>
    </row>
    <row r="174" hidden="1">
      <c r="A174" s="37" t="s">
        <v>477</v>
      </c>
      <c r="B174" s="85" t="s">
        <v>492</v>
      </c>
      <c r="C174" s="21" t="s">
        <v>42</v>
      </c>
      <c r="D174" s="22" t="s">
        <v>493</v>
      </c>
      <c r="E174" s="20" t="s">
        <v>494</v>
      </c>
      <c r="F174" s="22" t="s">
        <v>184</v>
      </c>
      <c r="G174" s="19" t="s">
        <v>63</v>
      </c>
      <c r="H174" s="29">
        <v>225.0</v>
      </c>
      <c r="I174" s="44" t="s">
        <v>64</v>
      </c>
      <c r="J174" s="25">
        <v>0.0</v>
      </c>
      <c r="K174" s="25">
        <f t="shared" si="12"/>
        <v>0</v>
      </c>
    </row>
    <row r="175" hidden="1">
      <c r="A175" s="37" t="s">
        <v>477</v>
      </c>
      <c r="B175" s="83" t="s">
        <v>495</v>
      </c>
      <c r="C175" s="21" t="s">
        <v>496</v>
      </c>
      <c r="D175" s="22" t="s">
        <v>497</v>
      </c>
      <c r="E175" s="20" t="s">
        <v>498</v>
      </c>
      <c r="F175" s="22" t="s">
        <v>184</v>
      </c>
      <c r="G175" s="19" t="s">
        <v>63</v>
      </c>
      <c r="H175" s="29">
        <v>215.0</v>
      </c>
      <c r="I175" s="44" t="s">
        <v>64</v>
      </c>
      <c r="J175" s="25">
        <v>0.0</v>
      </c>
      <c r="K175" s="25">
        <f t="shared" si="12"/>
        <v>0</v>
      </c>
    </row>
    <row r="176" hidden="1">
      <c r="A176" s="37" t="s">
        <v>477</v>
      </c>
      <c r="B176" s="83" t="s">
        <v>499</v>
      </c>
      <c r="C176" s="21" t="s">
        <v>22</v>
      </c>
      <c r="D176" s="22" t="s">
        <v>500</v>
      </c>
      <c r="E176" s="20" t="s">
        <v>501</v>
      </c>
      <c r="F176" s="22" t="s">
        <v>184</v>
      </c>
      <c r="G176" s="19" t="s">
        <v>63</v>
      </c>
      <c r="H176" s="29">
        <v>225.0</v>
      </c>
      <c r="I176" s="44" t="s">
        <v>64</v>
      </c>
      <c r="J176" s="25">
        <v>0.0</v>
      </c>
      <c r="K176" s="25">
        <f t="shared" si="12"/>
        <v>0</v>
      </c>
    </row>
    <row r="177" hidden="1">
      <c r="A177" s="37" t="s">
        <v>477</v>
      </c>
      <c r="B177" s="83" t="s">
        <v>502</v>
      </c>
      <c r="C177" s="21" t="s">
        <v>503</v>
      </c>
      <c r="D177" s="22" t="s">
        <v>504</v>
      </c>
      <c r="E177" s="20" t="s">
        <v>505</v>
      </c>
      <c r="F177" s="22" t="s">
        <v>184</v>
      </c>
      <c r="G177" s="19" t="s">
        <v>63</v>
      </c>
      <c r="H177" s="29">
        <v>215.0</v>
      </c>
      <c r="I177" s="44" t="s">
        <v>64</v>
      </c>
      <c r="J177" s="25">
        <v>0.0</v>
      </c>
      <c r="K177" s="25">
        <f t="shared" si="12"/>
        <v>0</v>
      </c>
    </row>
    <row r="178" hidden="1">
      <c r="A178" s="37" t="s">
        <v>477</v>
      </c>
      <c r="B178" s="83" t="s">
        <v>506</v>
      </c>
      <c r="C178" s="21" t="s">
        <v>507</v>
      </c>
      <c r="D178" s="22" t="s">
        <v>508</v>
      </c>
      <c r="E178" s="20" t="s">
        <v>509</v>
      </c>
      <c r="F178" s="22" t="s">
        <v>184</v>
      </c>
      <c r="G178" s="19" t="s">
        <v>63</v>
      </c>
      <c r="H178" s="29">
        <v>215.0</v>
      </c>
      <c r="I178" s="44" t="s">
        <v>64</v>
      </c>
      <c r="J178" s="25">
        <v>0.0</v>
      </c>
      <c r="K178" s="25">
        <f t="shared" si="12"/>
        <v>0</v>
      </c>
    </row>
    <row r="179" hidden="1">
      <c r="A179" s="37" t="s">
        <v>477</v>
      </c>
      <c r="B179" s="85" t="s">
        <v>510</v>
      </c>
      <c r="C179" s="21" t="s">
        <v>46</v>
      </c>
      <c r="D179" s="22" t="s">
        <v>511</v>
      </c>
      <c r="E179" s="20" t="s">
        <v>512</v>
      </c>
      <c r="F179" s="22" t="s">
        <v>184</v>
      </c>
      <c r="G179" s="19" t="s">
        <v>63</v>
      </c>
      <c r="H179" s="29">
        <v>199.0</v>
      </c>
      <c r="I179" s="44" t="s">
        <v>64</v>
      </c>
      <c r="J179" s="25">
        <v>0.0</v>
      </c>
      <c r="K179" s="25">
        <f t="shared" si="12"/>
        <v>0</v>
      </c>
    </row>
    <row r="180" hidden="1">
      <c r="A180" s="58" t="s">
        <v>513</v>
      </c>
      <c r="B180" s="13"/>
      <c r="C180" s="13"/>
      <c r="D180" s="13"/>
      <c r="E180" s="13"/>
      <c r="F180" s="13"/>
      <c r="G180" s="13"/>
      <c r="H180" s="13"/>
      <c r="I180" s="14"/>
      <c r="J180" s="59"/>
      <c r="K180" s="59"/>
    </row>
    <row r="181" hidden="1">
      <c r="A181" s="87" t="s">
        <v>514</v>
      </c>
      <c r="B181" s="83" t="s">
        <v>515</v>
      </c>
      <c r="C181" s="22" t="s">
        <v>516</v>
      </c>
      <c r="D181" s="22" t="s">
        <v>517</v>
      </c>
      <c r="E181" s="20" t="s">
        <v>518</v>
      </c>
      <c r="F181" s="22" t="s">
        <v>18</v>
      </c>
      <c r="G181" s="19" t="s">
        <v>63</v>
      </c>
      <c r="H181" s="29">
        <v>249.0</v>
      </c>
      <c r="I181" s="29" t="s">
        <v>64</v>
      </c>
      <c r="J181" s="25">
        <v>0.0</v>
      </c>
      <c r="K181" s="25">
        <f t="shared" ref="K181:K192" si="13">PRODUCT(H181,J181)</f>
        <v>0</v>
      </c>
    </row>
    <row r="182" hidden="1">
      <c r="A182" s="87" t="s">
        <v>514</v>
      </c>
      <c r="B182" s="83" t="s">
        <v>519</v>
      </c>
      <c r="C182" s="22" t="s">
        <v>516</v>
      </c>
      <c r="D182" s="22" t="s">
        <v>517</v>
      </c>
      <c r="E182" s="20" t="s">
        <v>520</v>
      </c>
      <c r="F182" s="22" t="s">
        <v>18</v>
      </c>
      <c r="G182" s="19" t="s">
        <v>63</v>
      </c>
      <c r="H182" s="29">
        <v>249.0</v>
      </c>
      <c r="I182" s="29" t="s">
        <v>64</v>
      </c>
      <c r="J182" s="25">
        <v>0.0</v>
      </c>
      <c r="K182" s="25">
        <f t="shared" si="13"/>
        <v>0</v>
      </c>
    </row>
    <row r="183" hidden="1">
      <c r="A183" s="87" t="s">
        <v>514</v>
      </c>
      <c r="B183" s="83" t="s">
        <v>521</v>
      </c>
      <c r="C183" s="21" t="s">
        <v>522</v>
      </c>
      <c r="D183" s="22" t="s">
        <v>523</v>
      </c>
      <c r="E183" s="88" t="s">
        <v>524</v>
      </c>
      <c r="F183" s="22" t="s">
        <v>345</v>
      </c>
      <c r="G183" s="19" t="s">
        <v>63</v>
      </c>
      <c r="H183" s="29">
        <v>265.0</v>
      </c>
      <c r="I183" s="29" t="s">
        <v>64</v>
      </c>
      <c r="J183" s="25">
        <v>0.0</v>
      </c>
      <c r="K183" s="25">
        <f t="shared" si="13"/>
        <v>0</v>
      </c>
    </row>
    <row r="184" hidden="1">
      <c r="A184" s="87" t="s">
        <v>514</v>
      </c>
      <c r="B184" s="83" t="s">
        <v>525</v>
      </c>
      <c r="C184" s="22" t="s">
        <v>233</v>
      </c>
      <c r="D184" s="22" t="s">
        <v>90</v>
      </c>
      <c r="E184" s="20" t="s">
        <v>526</v>
      </c>
      <c r="F184" s="22" t="s">
        <v>18</v>
      </c>
      <c r="G184" s="19" t="s">
        <v>63</v>
      </c>
      <c r="H184" s="29">
        <v>225.0</v>
      </c>
      <c r="I184" s="29" t="s">
        <v>64</v>
      </c>
      <c r="J184" s="25">
        <v>0.0</v>
      </c>
      <c r="K184" s="25">
        <f t="shared" si="13"/>
        <v>0</v>
      </c>
    </row>
    <row r="185" hidden="1">
      <c r="A185" s="87" t="s">
        <v>514</v>
      </c>
      <c r="B185" s="83" t="s">
        <v>527</v>
      </c>
      <c r="C185" s="22" t="s">
        <v>233</v>
      </c>
      <c r="D185" s="22" t="s">
        <v>90</v>
      </c>
      <c r="E185" s="20" t="s">
        <v>528</v>
      </c>
      <c r="F185" s="22" t="s">
        <v>18</v>
      </c>
      <c r="G185" s="19" t="s">
        <v>63</v>
      </c>
      <c r="H185" s="29">
        <v>225.0</v>
      </c>
      <c r="I185" s="29" t="s">
        <v>64</v>
      </c>
      <c r="J185" s="25">
        <v>0.0</v>
      </c>
      <c r="K185" s="25">
        <f t="shared" si="13"/>
        <v>0</v>
      </c>
    </row>
    <row r="186" hidden="1">
      <c r="A186" s="87" t="s">
        <v>514</v>
      </c>
      <c r="B186" s="83" t="s">
        <v>529</v>
      </c>
      <c r="C186" s="22" t="s">
        <v>233</v>
      </c>
      <c r="D186" s="22" t="s">
        <v>90</v>
      </c>
      <c r="E186" s="20" t="s">
        <v>530</v>
      </c>
      <c r="F186" s="22" t="s">
        <v>18</v>
      </c>
      <c r="G186" s="19" t="s">
        <v>63</v>
      </c>
      <c r="H186" s="29">
        <v>225.0</v>
      </c>
      <c r="I186" s="29" t="s">
        <v>64</v>
      </c>
      <c r="J186" s="25">
        <v>0.0</v>
      </c>
      <c r="K186" s="25">
        <f t="shared" si="13"/>
        <v>0</v>
      </c>
    </row>
    <row r="187" hidden="1">
      <c r="A187" s="87" t="s">
        <v>514</v>
      </c>
      <c r="B187" s="83" t="s">
        <v>531</v>
      </c>
      <c r="C187" s="22" t="s">
        <v>50</v>
      </c>
      <c r="D187" s="22" t="s">
        <v>251</v>
      </c>
      <c r="E187" s="20" t="s">
        <v>532</v>
      </c>
      <c r="F187" s="22" t="s">
        <v>18</v>
      </c>
      <c r="G187" s="19" t="s">
        <v>63</v>
      </c>
      <c r="H187" s="29">
        <v>215.0</v>
      </c>
      <c r="I187" s="29" t="s">
        <v>64</v>
      </c>
      <c r="J187" s="25">
        <v>0.0</v>
      </c>
      <c r="K187" s="25">
        <f t="shared" si="13"/>
        <v>0</v>
      </c>
    </row>
    <row r="188" hidden="1">
      <c r="A188" s="87" t="s">
        <v>514</v>
      </c>
      <c r="B188" s="83" t="s">
        <v>533</v>
      </c>
      <c r="C188" s="22" t="s">
        <v>534</v>
      </c>
      <c r="D188" s="22" t="s">
        <v>517</v>
      </c>
      <c r="E188" s="20" t="s">
        <v>535</v>
      </c>
      <c r="F188" s="22" t="s">
        <v>18</v>
      </c>
      <c r="G188" s="19" t="s">
        <v>63</v>
      </c>
      <c r="H188" s="29">
        <v>265.0</v>
      </c>
      <c r="I188" s="29" t="s">
        <v>64</v>
      </c>
      <c r="J188" s="25">
        <v>0.0</v>
      </c>
      <c r="K188" s="25">
        <f t="shared" si="13"/>
        <v>0</v>
      </c>
    </row>
    <row r="189" hidden="1">
      <c r="A189" s="87" t="s">
        <v>514</v>
      </c>
      <c r="B189" s="83" t="s">
        <v>536</v>
      </c>
      <c r="C189" s="22" t="s">
        <v>243</v>
      </c>
      <c r="D189" s="22" t="s">
        <v>537</v>
      </c>
      <c r="E189" s="20" t="s">
        <v>538</v>
      </c>
      <c r="F189" s="22" t="s">
        <v>18</v>
      </c>
      <c r="G189" s="19" t="s">
        <v>63</v>
      </c>
      <c r="H189" s="29">
        <v>239.0</v>
      </c>
      <c r="I189" s="29" t="s">
        <v>64</v>
      </c>
      <c r="J189" s="25">
        <v>0.0</v>
      </c>
      <c r="K189" s="25">
        <f t="shared" si="13"/>
        <v>0</v>
      </c>
    </row>
    <row r="190" hidden="1">
      <c r="A190" s="87" t="s">
        <v>514</v>
      </c>
      <c r="B190" s="83" t="s">
        <v>539</v>
      </c>
      <c r="C190" s="21" t="s">
        <v>522</v>
      </c>
      <c r="D190" s="22" t="s">
        <v>523</v>
      </c>
      <c r="E190" s="20" t="s">
        <v>540</v>
      </c>
      <c r="F190" s="22" t="s">
        <v>345</v>
      </c>
      <c r="G190" s="19" t="s">
        <v>63</v>
      </c>
      <c r="H190" s="29">
        <v>265.0</v>
      </c>
      <c r="I190" s="29" t="s">
        <v>64</v>
      </c>
      <c r="J190" s="25">
        <v>0.0</v>
      </c>
      <c r="K190" s="25">
        <f t="shared" si="13"/>
        <v>0</v>
      </c>
    </row>
    <row r="191" hidden="1">
      <c r="A191" s="87" t="s">
        <v>514</v>
      </c>
      <c r="B191" s="83" t="s">
        <v>541</v>
      </c>
      <c r="C191" s="22" t="s">
        <v>243</v>
      </c>
      <c r="D191" s="22" t="s">
        <v>251</v>
      </c>
      <c r="E191" s="20" t="s">
        <v>542</v>
      </c>
      <c r="F191" s="22" t="s">
        <v>18</v>
      </c>
      <c r="G191" s="19" t="s">
        <v>63</v>
      </c>
      <c r="H191" s="29">
        <v>215.0</v>
      </c>
      <c r="I191" s="29" t="s">
        <v>64</v>
      </c>
      <c r="J191" s="25">
        <v>0.0</v>
      </c>
      <c r="K191" s="25">
        <f t="shared" si="13"/>
        <v>0</v>
      </c>
    </row>
    <row r="192" hidden="1">
      <c r="A192" s="87" t="s">
        <v>514</v>
      </c>
      <c r="B192" s="83" t="s">
        <v>543</v>
      </c>
      <c r="C192" s="22" t="s">
        <v>534</v>
      </c>
      <c r="D192" s="22" t="s">
        <v>517</v>
      </c>
      <c r="E192" s="88" t="s">
        <v>544</v>
      </c>
      <c r="F192" s="22" t="s">
        <v>18</v>
      </c>
      <c r="G192" s="19" t="s">
        <v>63</v>
      </c>
      <c r="H192" s="29">
        <v>265.0</v>
      </c>
      <c r="I192" s="29" t="s">
        <v>64</v>
      </c>
      <c r="J192" s="25">
        <v>0.0</v>
      </c>
      <c r="K192" s="25">
        <f t="shared" si="13"/>
        <v>0</v>
      </c>
    </row>
    <row r="193" hidden="1">
      <c r="A193" s="58" t="s">
        <v>545</v>
      </c>
      <c r="B193" s="13"/>
      <c r="C193" s="13"/>
      <c r="D193" s="13"/>
      <c r="E193" s="13"/>
      <c r="F193" s="13"/>
      <c r="G193" s="13"/>
      <c r="H193" s="13"/>
      <c r="I193" s="14"/>
      <c r="J193" s="59"/>
      <c r="K193" s="59"/>
    </row>
    <row r="194" hidden="1">
      <c r="A194" s="37" t="s">
        <v>546</v>
      </c>
      <c r="B194" s="83" t="s">
        <v>547</v>
      </c>
      <c r="C194" s="22" t="s">
        <v>193</v>
      </c>
      <c r="D194" s="22" t="s">
        <v>90</v>
      </c>
      <c r="E194" s="88" t="s">
        <v>548</v>
      </c>
      <c r="F194" s="22" t="s">
        <v>18</v>
      </c>
      <c r="G194" s="19" t="s">
        <v>63</v>
      </c>
      <c r="H194" s="29">
        <v>209.0</v>
      </c>
      <c r="I194" s="76">
        <v>8.0</v>
      </c>
      <c r="J194" s="25">
        <v>0.0</v>
      </c>
      <c r="K194" s="25">
        <f t="shared" ref="K194:K196" si="14">PRODUCT(H194,J194)</f>
        <v>0</v>
      </c>
    </row>
    <row r="195" hidden="1">
      <c r="A195" s="37" t="s">
        <v>546</v>
      </c>
      <c r="B195" s="83" t="s">
        <v>549</v>
      </c>
      <c r="C195" s="22" t="s">
        <v>193</v>
      </c>
      <c r="D195" s="22" t="s">
        <v>550</v>
      </c>
      <c r="E195" s="20" t="s">
        <v>551</v>
      </c>
      <c r="F195" s="22" t="s">
        <v>18</v>
      </c>
      <c r="G195" s="19" t="s">
        <v>63</v>
      </c>
      <c r="H195" s="29">
        <v>229.0</v>
      </c>
      <c r="I195" s="76">
        <v>1.0</v>
      </c>
      <c r="J195" s="25">
        <v>0.0</v>
      </c>
      <c r="K195" s="25">
        <f t="shared" si="14"/>
        <v>0</v>
      </c>
    </row>
    <row r="196" hidden="1">
      <c r="A196" s="37" t="s">
        <v>546</v>
      </c>
      <c r="B196" s="83" t="s">
        <v>552</v>
      </c>
      <c r="C196" s="22" t="s">
        <v>220</v>
      </c>
      <c r="D196" s="22" t="s">
        <v>119</v>
      </c>
      <c r="E196" s="20" t="s">
        <v>553</v>
      </c>
      <c r="F196" s="22" t="s">
        <v>18</v>
      </c>
      <c r="G196" s="19" t="s">
        <v>63</v>
      </c>
      <c r="H196" s="29">
        <v>245.0</v>
      </c>
      <c r="I196" s="76">
        <v>4.0</v>
      </c>
      <c r="J196" s="25">
        <v>0.0</v>
      </c>
      <c r="K196" s="25">
        <f t="shared" si="14"/>
        <v>0</v>
      </c>
    </row>
    <row r="197" hidden="1">
      <c r="A197" s="89" t="s">
        <v>554</v>
      </c>
      <c r="B197" s="13"/>
      <c r="C197" s="13"/>
      <c r="D197" s="13"/>
      <c r="E197" s="13"/>
      <c r="F197" s="13"/>
      <c r="G197" s="13"/>
      <c r="H197" s="13"/>
      <c r="I197" s="14"/>
      <c r="J197" s="90"/>
      <c r="K197" s="90"/>
    </row>
    <row r="198" hidden="1">
      <c r="A198" s="37" t="s">
        <v>555</v>
      </c>
      <c r="B198" s="83" t="s">
        <v>556</v>
      </c>
      <c r="C198" s="21" t="s">
        <v>557</v>
      </c>
      <c r="D198" s="22" t="s">
        <v>558</v>
      </c>
      <c r="E198" s="84" t="s">
        <v>559</v>
      </c>
      <c r="F198" s="22" t="s">
        <v>18</v>
      </c>
      <c r="G198" s="19" t="s">
        <v>63</v>
      </c>
      <c r="H198" s="29">
        <v>339.0</v>
      </c>
      <c r="I198" s="29" t="s">
        <v>64</v>
      </c>
      <c r="J198" s="25">
        <v>0.0</v>
      </c>
      <c r="K198" s="25">
        <f t="shared" ref="K198:K202" si="15">PRODUCT(H198,J198)</f>
        <v>0</v>
      </c>
    </row>
    <row r="199" hidden="1">
      <c r="A199" s="37" t="s">
        <v>555</v>
      </c>
      <c r="B199" s="83" t="s">
        <v>560</v>
      </c>
      <c r="C199" s="21" t="s">
        <v>22</v>
      </c>
      <c r="D199" s="22" t="s">
        <v>561</v>
      </c>
      <c r="E199" s="84" t="s">
        <v>562</v>
      </c>
      <c r="F199" s="22" t="s">
        <v>18</v>
      </c>
      <c r="G199" s="19" t="s">
        <v>63</v>
      </c>
      <c r="H199" s="29">
        <v>239.0</v>
      </c>
      <c r="I199" s="24" t="s">
        <v>20</v>
      </c>
      <c r="J199" s="25">
        <v>0.0</v>
      </c>
      <c r="K199" s="25">
        <f t="shared" si="15"/>
        <v>0</v>
      </c>
    </row>
    <row r="200" hidden="1">
      <c r="A200" s="37" t="s">
        <v>555</v>
      </c>
      <c r="B200" s="83" t="s">
        <v>563</v>
      </c>
      <c r="C200" s="21" t="s">
        <v>564</v>
      </c>
      <c r="D200" s="22" t="s">
        <v>565</v>
      </c>
      <c r="E200" s="84" t="s">
        <v>566</v>
      </c>
      <c r="F200" s="22" t="s">
        <v>18</v>
      </c>
      <c r="G200" s="19" t="s">
        <v>63</v>
      </c>
      <c r="H200" s="29">
        <v>289.0</v>
      </c>
      <c r="I200" s="29" t="s">
        <v>64</v>
      </c>
      <c r="J200" s="25">
        <v>0.0</v>
      </c>
      <c r="K200" s="25">
        <f t="shared" si="15"/>
        <v>0</v>
      </c>
    </row>
    <row r="201" hidden="1">
      <c r="A201" s="37" t="s">
        <v>555</v>
      </c>
      <c r="B201" s="83" t="s">
        <v>567</v>
      </c>
      <c r="C201" s="21" t="s">
        <v>568</v>
      </c>
      <c r="D201" s="22" t="s">
        <v>182</v>
      </c>
      <c r="E201" s="84" t="s">
        <v>569</v>
      </c>
      <c r="F201" s="22" t="s">
        <v>18</v>
      </c>
      <c r="G201" s="19" t="s">
        <v>63</v>
      </c>
      <c r="H201" s="29">
        <v>279.0</v>
      </c>
      <c r="I201" s="29" t="s">
        <v>64</v>
      </c>
      <c r="J201" s="25">
        <v>0.0</v>
      </c>
      <c r="K201" s="25">
        <f t="shared" si="15"/>
        <v>0</v>
      </c>
    </row>
    <row r="202" hidden="1">
      <c r="A202" s="37" t="s">
        <v>555</v>
      </c>
      <c r="B202" s="83" t="s">
        <v>570</v>
      </c>
      <c r="C202" s="62" t="s">
        <v>571</v>
      </c>
      <c r="D202" s="62" t="s">
        <v>572</v>
      </c>
      <c r="E202" s="91" t="s">
        <v>573</v>
      </c>
      <c r="F202" s="62" t="s">
        <v>18</v>
      </c>
      <c r="G202" s="79" t="s">
        <v>63</v>
      </c>
      <c r="H202" s="44">
        <v>255.0</v>
      </c>
      <c r="I202" s="48">
        <v>9.0</v>
      </c>
      <c r="J202" s="25">
        <v>0.0</v>
      </c>
      <c r="K202" s="25">
        <f t="shared" si="15"/>
        <v>0</v>
      </c>
    </row>
    <row r="203" hidden="1">
      <c r="A203" s="35" t="s">
        <v>574</v>
      </c>
      <c r="B203" s="13"/>
      <c r="C203" s="13"/>
      <c r="D203" s="13"/>
      <c r="E203" s="13"/>
      <c r="F203" s="13"/>
      <c r="G203" s="13"/>
      <c r="H203" s="13"/>
      <c r="I203" s="14"/>
      <c r="J203" s="36"/>
      <c r="K203" s="36"/>
    </row>
    <row r="204" ht="43.5" hidden="1" customHeight="1">
      <c r="A204" s="37" t="s">
        <v>575</v>
      </c>
      <c r="B204" s="83" t="s">
        <v>576</v>
      </c>
      <c r="C204" s="22" t="s">
        <v>577</v>
      </c>
      <c r="D204" s="22" t="s">
        <v>578</v>
      </c>
      <c r="E204" s="20" t="s">
        <v>579</v>
      </c>
      <c r="F204" s="22" t="s">
        <v>18</v>
      </c>
      <c r="G204" s="19" t="s">
        <v>63</v>
      </c>
      <c r="H204" s="29">
        <v>215.0</v>
      </c>
      <c r="I204" s="44" t="s">
        <v>64</v>
      </c>
      <c r="J204" s="25">
        <v>0.0</v>
      </c>
      <c r="K204" s="25">
        <f t="shared" ref="K204:K215" si="16">PRODUCT(H204,J204)</f>
        <v>0</v>
      </c>
    </row>
    <row r="205" ht="43.5" hidden="1" customHeight="1">
      <c r="A205" s="37" t="s">
        <v>575</v>
      </c>
      <c r="B205" s="83" t="s">
        <v>580</v>
      </c>
      <c r="C205" s="22" t="s">
        <v>193</v>
      </c>
      <c r="D205" s="22" t="s">
        <v>119</v>
      </c>
      <c r="E205" s="20" t="s">
        <v>581</v>
      </c>
      <c r="F205" s="22" t="s">
        <v>18</v>
      </c>
      <c r="G205" s="19" t="s">
        <v>63</v>
      </c>
      <c r="H205" s="29">
        <v>225.0</v>
      </c>
      <c r="I205" s="44" t="s">
        <v>64</v>
      </c>
      <c r="J205" s="25">
        <v>0.0</v>
      </c>
      <c r="K205" s="25">
        <f t="shared" si="16"/>
        <v>0</v>
      </c>
    </row>
    <row r="206" ht="43.5" hidden="1" customHeight="1">
      <c r="A206" s="37" t="s">
        <v>575</v>
      </c>
      <c r="B206" s="83" t="s">
        <v>582</v>
      </c>
      <c r="C206" s="62" t="s">
        <v>193</v>
      </c>
      <c r="D206" s="62" t="s">
        <v>583</v>
      </c>
      <c r="E206" s="80" t="s">
        <v>584</v>
      </c>
      <c r="F206" s="62" t="s">
        <v>18</v>
      </c>
      <c r="G206" s="79" t="s">
        <v>63</v>
      </c>
      <c r="H206" s="44">
        <v>235.0</v>
      </c>
      <c r="I206" s="48">
        <v>9.0</v>
      </c>
      <c r="J206" s="25">
        <v>0.0</v>
      </c>
      <c r="K206" s="25">
        <f t="shared" si="16"/>
        <v>0</v>
      </c>
    </row>
    <row r="207" hidden="1">
      <c r="A207" s="37" t="s">
        <v>575</v>
      </c>
      <c r="B207" s="85" t="s">
        <v>585</v>
      </c>
      <c r="C207" s="22" t="s">
        <v>193</v>
      </c>
      <c r="D207" s="22" t="s">
        <v>583</v>
      </c>
      <c r="E207" s="20" t="s">
        <v>586</v>
      </c>
      <c r="F207" s="22" t="s">
        <v>18</v>
      </c>
      <c r="G207" s="19" t="s">
        <v>63</v>
      </c>
      <c r="H207" s="92">
        <v>225.0</v>
      </c>
      <c r="I207" s="44" t="s">
        <v>64</v>
      </c>
      <c r="J207" s="25">
        <v>0.0</v>
      </c>
      <c r="K207" s="25">
        <f t="shared" si="16"/>
        <v>0</v>
      </c>
    </row>
    <row r="208" hidden="1">
      <c r="A208" s="37" t="s">
        <v>575</v>
      </c>
      <c r="B208" s="85" t="s">
        <v>587</v>
      </c>
      <c r="C208" s="22" t="s">
        <v>307</v>
      </c>
      <c r="D208" s="22" t="s">
        <v>588</v>
      </c>
      <c r="E208" s="20" t="s">
        <v>589</v>
      </c>
      <c r="F208" s="22" t="s">
        <v>18</v>
      </c>
      <c r="G208" s="19" t="s">
        <v>63</v>
      </c>
      <c r="H208" s="29">
        <v>205.0</v>
      </c>
      <c r="I208" s="29" t="s">
        <v>64</v>
      </c>
      <c r="J208" s="25">
        <v>0.0</v>
      </c>
      <c r="K208" s="25">
        <f t="shared" si="16"/>
        <v>0</v>
      </c>
    </row>
    <row r="209" hidden="1">
      <c r="A209" s="37" t="s">
        <v>575</v>
      </c>
      <c r="B209" s="83" t="s">
        <v>590</v>
      </c>
      <c r="C209" s="22" t="s">
        <v>42</v>
      </c>
      <c r="D209" s="22" t="s">
        <v>591</v>
      </c>
      <c r="E209" s="20" t="s">
        <v>592</v>
      </c>
      <c r="F209" s="22" t="s">
        <v>18</v>
      </c>
      <c r="G209" s="19" t="s">
        <v>63</v>
      </c>
      <c r="H209" s="29">
        <v>235.0</v>
      </c>
      <c r="I209" s="29" t="s">
        <v>64</v>
      </c>
      <c r="J209" s="25">
        <v>0.0</v>
      </c>
      <c r="K209" s="25">
        <f t="shared" si="16"/>
        <v>0</v>
      </c>
    </row>
    <row r="210" hidden="1">
      <c r="A210" s="37" t="s">
        <v>575</v>
      </c>
      <c r="B210" s="83" t="s">
        <v>593</v>
      </c>
      <c r="C210" s="79" t="s">
        <v>296</v>
      </c>
      <c r="D210" s="62" t="s">
        <v>583</v>
      </c>
      <c r="E210" s="80" t="s">
        <v>594</v>
      </c>
      <c r="F210" s="62" t="s">
        <v>18</v>
      </c>
      <c r="G210" s="79" t="s">
        <v>63</v>
      </c>
      <c r="H210" s="93">
        <v>205.0</v>
      </c>
      <c r="I210" s="44" t="s">
        <v>64</v>
      </c>
      <c r="J210" s="25">
        <v>0.0</v>
      </c>
      <c r="K210" s="25">
        <f t="shared" si="16"/>
        <v>0</v>
      </c>
    </row>
    <row r="211" hidden="1">
      <c r="A211" s="37" t="s">
        <v>575</v>
      </c>
      <c r="B211" s="85" t="s">
        <v>595</v>
      </c>
      <c r="C211" s="22" t="s">
        <v>596</v>
      </c>
      <c r="D211" s="22" t="s">
        <v>597</v>
      </c>
      <c r="E211" s="20" t="s">
        <v>598</v>
      </c>
      <c r="F211" s="22" t="s">
        <v>18</v>
      </c>
      <c r="G211" s="19" t="s">
        <v>63</v>
      </c>
      <c r="H211" s="29">
        <v>205.0</v>
      </c>
      <c r="I211" s="44" t="s">
        <v>64</v>
      </c>
      <c r="J211" s="25">
        <v>0.0</v>
      </c>
      <c r="K211" s="25">
        <f t="shared" si="16"/>
        <v>0</v>
      </c>
    </row>
    <row r="212" hidden="1">
      <c r="A212" s="37" t="s">
        <v>575</v>
      </c>
      <c r="B212" s="83" t="s">
        <v>599</v>
      </c>
      <c r="C212" s="86" t="s">
        <v>600</v>
      </c>
      <c r="D212" s="22" t="s">
        <v>601</v>
      </c>
      <c r="E212" s="20" t="s">
        <v>602</v>
      </c>
      <c r="F212" s="38" t="s">
        <v>603</v>
      </c>
      <c r="G212" s="19" t="s">
        <v>63</v>
      </c>
      <c r="H212" s="29">
        <v>145.0</v>
      </c>
      <c r="I212" s="29" t="s">
        <v>64</v>
      </c>
      <c r="J212" s="25">
        <v>0.0</v>
      </c>
      <c r="K212" s="25">
        <f t="shared" si="16"/>
        <v>0</v>
      </c>
    </row>
    <row r="213" hidden="1">
      <c r="A213" s="37" t="s">
        <v>575</v>
      </c>
      <c r="B213" s="83" t="s">
        <v>604</v>
      </c>
      <c r="C213" s="86" t="s">
        <v>600</v>
      </c>
      <c r="D213" s="22" t="s">
        <v>601</v>
      </c>
      <c r="E213" s="20" t="s">
        <v>605</v>
      </c>
      <c r="F213" s="38" t="s">
        <v>603</v>
      </c>
      <c r="G213" s="19" t="s">
        <v>63</v>
      </c>
      <c r="H213" s="29">
        <v>155.0</v>
      </c>
      <c r="I213" s="29" t="s">
        <v>64</v>
      </c>
      <c r="J213" s="25">
        <v>0.0</v>
      </c>
      <c r="K213" s="25">
        <f t="shared" si="16"/>
        <v>0</v>
      </c>
    </row>
    <row r="214" hidden="1">
      <c r="A214" s="37" t="s">
        <v>575</v>
      </c>
      <c r="B214" s="83" t="s">
        <v>606</v>
      </c>
      <c r="C214" s="62" t="s">
        <v>115</v>
      </c>
      <c r="D214" s="62" t="s">
        <v>607</v>
      </c>
      <c r="E214" s="80" t="s">
        <v>608</v>
      </c>
      <c r="F214" s="62" t="s">
        <v>18</v>
      </c>
      <c r="G214" s="79" t="s">
        <v>63</v>
      </c>
      <c r="H214" s="93">
        <v>309.0</v>
      </c>
      <c r="I214" s="44" t="s">
        <v>64</v>
      </c>
      <c r="J214" s="25">
        <v>0.0</v>
      </c>
      <c r="K214" s="25">
        <f t="shared" si="16"/>
        <v>0</v>
      </c>
    </row>
    <row r="215" hidden="1">
      <c r="A215" s="37" t="s">
        <v>575</v>
      </c>
      <c r="B215" s="83" t="s">
        <v>609</v>
      </c>
      <c r="C215" s="62" t="s">
        <v>610</v>
      </c>
      <c r="D215" s="62" t="s">
        <v>611</v>
      </c>
      <c r="E215" s="80" t="s">
        <v>612</v>
      </c>
      <c r="F215" s="62" t="s">
        <v>312</v>
      </c>
      <c r="G215" s="79" t="s">
        <v>63</v>
      </c>
      <c r="H215" s="93">
        <v>249.0</v>
      </c>
      <c r="I215" s="44" t="s">
        <v>64</v>
      </c>
      <c r="J215" s="25">
        <v>0.0</v>
      </c>
      <c r="K215" s="25">
        <f t="shared" si="16"/>
        <v>0</v>
      </c>
    </row>
    <row r="216" hidden="1">
      <c r="A216" s="94" t="s">
        <v>613</v>
      </c>
      <c r="B216" s="13"/>
      <c r="C216" s="13"/>
      <c r="D216" s="13"/>
      <c r="E216" s="13"/>
      <c r="F216" s="13"/>
      <c r="G216" s="13"/>
      <c r="H216" s="13"/>
      <c r="I216" s="14"/>
      <c r="J216" s="95"/>
      <c r="K216" s="95"/>
    </row>
    <row r="217" hidden="1">
      <c r="A217" s="37" t="s">
        <v>614</v>
      </c>
      <c r="B217" s="32" t="s">
        <v>615</v>
      </c>
      <c r="C217" s="34" t="s">
        <v>193</v>
      </c>
      <c r="D217" s="34" t="s">
        <v>230</v>
      </c>
      <c r="E217" s="27" t="s">
        <v>616</v>
      </c>
      <c r="F217" s="22" t="s">
        <v>18</v>
      </c>
      <c r="G217" s="19" t="s">
        <v>63</v>
      </c>
      <c r="H217" s="23">
        <v>299.0</v>
      </c>
      <c r="I217" s="76">
        <v>6.0</v>
      </c>
      <c r="J217" s="25">
        <v>0.0</v>
      </c>
      <c r="K217" s="25">
        <f t="shared" ref="K217:K229" si="17">PRODUCT(H217,J217)</f>
        <v>0</v>
      </c>
    </row>
    <row r="218" hidden="1">
      <c r="A218" s="37" t="s">
        <v>614</v>
      </c>
      <c r="B218" s="32" t="s">
        <v>617</v>
      </c>
      <c r="C218" s="34" t="s">
        <v>193</v>
      </c>
      <c r="D218" s="34" t="s">
        <v>230</v>
      </c>
      <c r="E218" s="27" t="s">
        <v>618</v>
      </c>
      <c r="F218" s="22" t="s">
        <v>18</v>
      </c>
      <c r="G218" s="19" t="s">
        <v>63</v>
      </c>
      <c r="H218" s="23">
        <v>299.0</v>
      </c>
      <c r="I218" s="29" t="s">
        <v>64</v>
      </c>
      <c r="J218" s="25">
        <v>0.0</v>
      </c>
      <c r="K218" s="25">
        <f t="shared" si="17"/>
        <v>0</v>
      </c>
    </row>
    <row r="219" hidden="1">
      <c r="A219" s="37" t="s">
        <v>614</v>
      </c>
      <c r="B219" s="96" t="s">
        <v>619</v>
      </c>
      <c r="C219" s="68" t="s">
        <v>275</v>
      </c>
      <c r="D219" s="34" t="s">
        <v>620</v>
      </c>
      <c r="E219" s="27" t="s">
        <v>621</v>
      </c>
      <c r="F219" s="22" t="s">
        <v>345</v>
      </c>
      <c r="G219" s="19" t="s">
        <v>154</v>
      </c>
      <c r="H219" s="23">
        <v>335.0</v>
      </c>
      <c r="I219" s="24" t="s">
        <v>20</v>
      </c>
      <c r="J219" s="25">
        <v>0.0</v>
      </c>
      <c r="K219" s="25">
        <f t="shared" si="17"/>
        <v>0</v>
      </c>
    </row>
    <row r="220" hidden="1">
      <c r="A220" s="37" t="s">
        <v>614</v>
      </c>
      <c r="B220" s="32" t="s">
        <v>622</v>
      </c>
      <c r="C220" s="34" t="s">
        <v>243</v>
      </c>
      <c r="D220" s="97"/>
      <c r="E220" s="27" t="s">
        <v>623</v>
      </c>
      <c r="F220" s="22" t="s">
        <v>18</v>
      </c>
      <c r="G220" s="19" t="s">
        <v>63</v>
      </c>
      <c r="H220" s="23">
        <v>249.0</v>
      </c>
      <c r="I220" s="29" t="s">
        <v>64</v>
      </c>
      <c r="J220" s="25">
        <v>0.0</v>
      </c>
      <c r="K220" s="25">
        <f t="shared" si="17"/>
        <v>0</v>
      </c>
    </row>
    <row r="221" hidden="1">
      <c r="A221" s="37" t="s">
        <v>614</v>
      </c>
      <c r="B221" s="32" t="s">
        <v>624</v>
      </c>
      <c r="C221" s="34" t="s">
        <v>233</v>
      </c>
      <c r="D221" s="34" t="s">
        <v>230</v>
      </c>
      <c r="E221" s="27" t="s">
        <v>625</v>
      </c>
      <c r="F221" s="22" t="s">
        <v>18</v>
      </c>
      <c r="G221" s="19" t="s">
        <v>63</v>
      </c>
      <c r="H221" s="23">
        <v>249.0</v>
      </c>
      <c r="I221" s="29" t="s">
        <v>64</v>
      </c>
      <c r="J221" s="25">
        <v>0.0</v>
      </c>
      <c r="K221" s="25">
        <f t="shared" si="17"/>
        <v>0</v>
      </c>
    </row>
    <row r="222" hidden="1">
      <c r="A222" s="37" t="s">
        <v>614</v>
      </c>
      <c r="B222" s="32" t="s">
        <v>626</v>
      </c>
      <c r="C222" s="34" t="s">
        <v>193</v>
      </c>
      <c r="D222" s="34" t="s">
        <v>230</v>
      </c>
      <c r="E222" s="27" t="s">
        <v>627</v>
      </c>
      <c r="F222" s="22" t="s">
        <v>18</v>
      </c>
      <c r="G222" s="19" t="s">
        <v>63</v>
      </c>
      <c r="H222" s="23">
        <v>299.0</v>
      </c>
      <c r="I222" s="29" t="s">
        <v>64</v>
      </c>
      <c r="J222" s="25">
        <v>0.0</v>
      </c>
      <c r="K222" s="25">
        <f t="shared" si="17"/>
        <v>0</v>
      </c>
    </row>
    <row r="223" hidden="1">
      <c r="A223" s="37" t="s">
        <v>614</v>
      </c>
      <c r="B223" s="32" t="s">
        <v>628</v>
      </c>
      <c r="C223" s="34" t="s">
        <v>522</v>
      </c>
      <c r="D223" s="34" t="s">
        <v>629</v>
      </c>
      <c r="E223" s="27" t="s">
        <v>630</v>
      </c>
      <c r="F223" s="22" t="s">
        <v>345</v>
      </c>
      <c r="G223" s="19" t="s">
        <v>154</v>
      </c>
      <c r="H223" s="23">
        <v>349.0</v>
      </c>
      <c r="I223" s="24" t="s">
        <v>20</v>
      </c>
      <c r="J223" s="25">
        <v>0.0</v>
      </c>
      <c r="K223" s="25">
        <f t="shared" si="17"/>
        <v>0</v>
      </c>
    </row>
    <row r="224" hidden="1">
      <c r="A224" s="37" t="s">
        <v>614</v>
      </c>
      <c r="B224" s="26" t="s">
        <v>631</v>
      </c>
      <c r="C224" s="34" t="s">
        <v>239</v>
      </c>
      <c r="D224" s="34" t="s">
        <v>90</v>
      </c>
      <c r="E224" s="98" t="s">
        <v>632</v>
      </c>
      <c r="F224" s="22" t="s">
        <v>18</v>
      </c>
      <c r="G224" s="19" t="s">
        <v>63</v>
      </c>
      <c r="H224" s="23">
        <v>249.0</v>
      </c>
      <c r="I224" s="76">
        <v>9.0</v>
      </c>
      <c r="J224" s="25">
        <v>0.0</v>
      </c>
      <c r="K224" s="25">
        <f t="shared" si="17"/>
        <v>0</v>
      </c>
    </row>
    <row r="225" hidden="1">
      <c r="A225" s="37" t="s">
        <v>614</v>
      </c>
      <c r="B225" s="32" t="s">
        <v>633</v>
      </c>
      <c r="C225" s="34" t="s">
        <v>239</v>
      </c>
      <c r="D225" s="34" t="s">
        <v>90</v>
      </c>
      <c r="E225" s="27" t="s">
        <v>634</v>
      </c>
      <c r="F225" s="22" t="s">
        <v>18</v>
      </c>
      <c r="G225" s="19" t="s">
        <v>63</v>
      </c>
      <c r="H225" s="23">
        <v>249.0</v>
      </c>
      <c r="I225" s="29" t="s">
        <v>64</v>
      </c>
      <c r="J225" s="25">
        <v>0.0</v>
      </c>
      <c r="K225" s="25">
        <f t="shared" si="17"/>
        <v>0</v>
      </c>
    </row>
    <row r="226" hidden="1">
      <c r="A226" s="37" t="s">
        <v>614</v>
      </c>
      <c r="B226" s="32" t="s">
        <v>635</v>
      </c>
      <c r="C226" s="34" t="s">
        <v>193</v>
      </c>
      <c r="D226" s="34" t="s">
        <v>230</v>
      </c>
      <c r="E226" s="27" t="s">
        <v>636</v>
      </c>
      <c r="F226" s="22" t="s">
        <v>18</v>
      </c>
      <c r="G226" s="19" t="s">
        <v>63</v>
      </c>
      <c r="H226" s="23">
        <v>299.0</v>
      </c>
      <c r="I226" s="29" t="s">
        <v>64</v>
      </c>
      <c r="J226" s="25">
        <v>0.0</v>
      </c>
      <c r="K226" s="25">
        <f t="shared" si="17"/>
        <v>0</v>
      </c>
    </row>
    <row r="227" hidden="1">
      <c r="A227" s="37" t="s">
        <v>614</v>
      </c>
      <c r="B227" s="96" t="s">
        <v>637</v>
      </c>
      <c r="C227" s="34" t="s">
        <v>193</v>
      </c>
      <c r="D227" s="34" t="s">
        <v>230</v>
      </c>
      <c r="E227" s="27" t="s">
        <v>638</v>
      </c>
      <c r="F227" s="22" t="s">
        <v>18</v>
      </c>
      <c r="G227" s="19" t="s">
        <v>63</v>
      </c>
      <c r="H227" s="23">
        <v>299.0</v>
      </c>
      <c r="I227" s="29" t="s">
        <v>64</v>
      </c>
      <c r="J227" s="25">
        <v>0.0</v>
      </c>
      <c r="K227" s="25">
        <f t="shared" si="17"/>
        <v>0</v>
      </c>
    </row>
    <row r="228" hidden="1">
      <c r="A228" s="37" t="s">
        <v>614</v>
      </c>
      <c r="B228" s="32" t="s">
        <v>639</v>
      </c>
      <c r="C228" s="34" t="s">
        <v>193</v>
      </c>
      <c r="D228" s="34" t="s">
        <v>230</v>
      </c>
      <c r="E228" s="27" t="s">
        <v>640</v>
      </c>
      <c r="F228" s="22" t="s">
        <v>18</v>
      </c>
      <c r="G228" s="19" t="s">
        <v>63</v>
      </c>
      <c r="H228" s="23">
        <v>299.0</v>
      </c>
      <c r="I228" s="29" t="s">
        <v>64</v>
      </c>
      <c r="J228" s="25">
        <v>0.0</v>
      </c>
      <c r="K228" s="25">
        <f t="shared" si="17"/>
        <v>0</v>
      </c>
    </row>
    <row r="229" hidden="1">
      <c r="A229" s="37" t="s">
        <v>614</v>
      </c>
      <c r="B229" s="32" t="s">
        <v>641</v>
      </c>
      <c r="C229" s="34" t="s">
        <v>193</v>
      </c>
      <c r="D229" s="34" t="s">
        <v>517</v>
      </c>
      <c r="E229" s="27" t="s">
        <v>642</v>
      </c>
      <c r="F229" s="22" t="s">
        <v>18</v>
      </c>
      <c r="G229" s="19" t="s">
        <v>63</v>
      </c>
      <c r="H229" s="23">
        <v>299.0</v>
      </c>
      <c r="I229" s="29" t="s">
        <v>64</v>
      </c>
      <c r="J229" s="25">
        <v>0.0</v>
      </c>
      <c r="K229" s="25">
        <f t="shared" si="17"/>
        <v>0</v>
      </c>
    </row>
    <row r="230" hidden="1">
      <c r="A230" s="94" t="s">
        <v>643</v>
      </c>
      <c r="B230" s="13"/>
      <c r="C230" s="13"/>
      <c r="D230" s="13"/>
      <c r="E230" s="13"/>
      <c r="F230" s="13"/>
      <c r="G230" s="13"/>
      <c r="H230" s="13"/>
      <c r="I230" s="14"/>
      <c r="J230" s="95"/>
      <c r="K230" s="95"/>
    </row>
    <row r="231" hidden="1">
      <c r="A231" s="37" t="s">
        <v>644</v>
      </c>
      <c r="B231" s="32" t="s">
        <v>645</v>
      </c>
      <c r="C231" s="34" t="s">
        <v>239</v>
      </c>
      <c r="D231" s="34" t="s">
        <v>646</v>
      </c>
      <c r="E231" s="27" t="s">
        <v>647</v>
      </c>
      <c r="F231" s="22" t="s">
        <v>184</v>
      </c>
      <c r="G231" s="19" t="s">
        <v>63</v>
      </c>
      <c r="H231" s="23">
        <v>231.0</v>
      </c>
      <c r="I231" s="29" t="s">
        <v>64</v>
      </c>
      <c r="J231" s="25">
        <v>0.0</v>
      </c>
      <c r="K231" s="25">
        <f>PRODUCT(H231,J231)</f>
        <v>0</v>
      </c>
    </row>
    <row r="232" hidden="1">
      <c r="A232" s="99" t="s">
        <v>648</v>
      </c>
      <c r="B232" s="13"/>
      <c r="C232" s="13"/>
      <c r="D232" s="13"/>
      <c r="E232" s="13"/>
      <c r="F232" s="13"/>
      <c r="G232" s="13"/>
      <c r="H232" s="13"/>
      <c r="I232" s="14"/>
      <c r="J232" s="100"/>
      <c r="K232" s="100"/>
    </row>
    <row r="233" hidden="1">
      <c r="A233" s="37" t="s">
        <v>649</v>
      </c>
      <c r="B233" s="32" t="s">
        <v>650</v>
      </c>
      <c r="C233" s="34" t="s">
        <v>651</v>
      </c>
      <c r="D233" s="34" t="s">
        <v>652</v>
      </c>
      <c r="E233" s="27" t="s">
        <v>653</v>
      </c>
      <c r="F233" s="22" t="s">
        <v>184</v>
      </c>
      <c r="G233" s="19" t="s">
        <v>63</v>
      </c>
      <c r="H233" s="23">
        <v>189.0</v>
      </c>
      <c r="I233" s="29" t="s">
        <v>64</v>
      </c>
      <c r="J233" s="25">
        <v>0.0</v>
      </c>
      <c r="K233" s="25">
        <f t="shared" ref="K233:K240" si="18">PRODUCT(H233,J233)</f>
        <v>0</v>
      </c>
    </row>
    <row r="234" hidden="1">
      <c r="A234" s="37" t="s">
        <v>649</v>
      </c>
      <c r="B234" s="32" t="s">
        <v>654</v>
      </c>
      <c r="C234" s="34" t="s">
        <v>307</v>
      </c>
      <c r="D234" s="34" t="s">
        <v>655</v>
      </c>
      <c r="E234" s="27" t="s">
        <v>656</v>
      </c>
      <c r="F234" s="22" t="s">
        <v>184</v>
      </c>
      <c r="G234" s="19" t="s">
        <v>63</v>
      </c>
      <c r="H234" s="23">
        <v>179.0</v>
      </c>
      <c r="I234" s="29" t="s">
        <v>64</v>
      </c>
      <c r="J234" s="25">
        <v>0.0</v>
      </c>
      <c r="K234" s="25">
        <f t="shared" si="18"/>
        <v>0</v>
      </c>
    </row>
    <row r="235" hidden="1">
      <c r="A235" s="37" t="s">
        <v>649</v>
      </c>
      <c r="B235" s="32" t="s">
        <v>657</v>
      </c>
      <c r="C235" s="34" t="s">
        <v>15</v>
      </c>
      <c r="D235" s="34" t="s">
        <v>658</v>
      </c>
      <c r="E235" s="27" t="s">
        <v>659</v>
      </c>
      <c r="F235" s="22" t="s">
        <v>184</v>
      </c>
      <c r="G235" s="19" t="s">
        <v>63</v>
      </c>
      <c r="H235" s="23">
        <v>179.0</v>
      </c>
      <c r="I235" s="29" t="s">
        <v>64</v>
      </c>
      <c r="J235" s="25">
        <v>0.0</v>
      </c>
      <c r="K235" s="25">
        <f t="shared" si="18"/>
        <v>0</v>
      </c>
    </row>
    <row r="236" hidden="1">
      <c r="A236" s="37" t="s">
        <v>649</v>
      </c>
      <c r="B236" s="32" t="s">
        <v>660</v>
      </c>
      <c r="C236" s="34" t="s">
        <v>42</v>
      </c>
      <c r="D236" s="34" t="s">
        <v>661</v>
      </c>
      <c r="E236" s="27" t="s">
        <v>662</v>
      </c>
      <c r="F236" s="22" t="s">
        <v>184</v>
      </c>
      <c r="G236" s="19" t="s">
        <v>63</v>
      </c>
      <c r="H236" s="23">
        <v>219.0</v>
      </c>
      <c r="I236" s="29" t="s">
        <v>64</v>
      </c>
      <c r="J236" s="25">
        <v>0.0</v>
      </c>
      <c r="K236" s="25">
        <f t="shared" si="18"/>
        <v>0</v>
      </c>
    </row>
    <row r="237" hidden="1">
      <c r="A237" s="37" t="s">
        <v>649</v>
      </c>
      <c r="B237" s="32" t="s">
        <v>663</v>
      </c>
      <c r="C237" s="34" t="s">
        <v>522</v>
      </c>
      <c r="D237" s="34" t="s">
        <v>664</v>
      </c>
      <c r="E237" s="27" t="s">
        <v>665</v>
      </c>
      <c r="F237" s="38" t="s">
        <v>153</v>
      </c>
      <c r="G237" s="19" t="s">
        <v>63</v>
      </c>
      <c r="H237" s="23">
        <v>195.0</v>
      </c>
      <c r="I237" s="29" t="s">
        <v>64</v>
      </c>
      <c r="J237" s="25">
        <v>0.0</v>
      </c>
      <c r="K237" s="25">
        <f t="shared" si="18"/>
        <v>0</v>
      </c>
    </row>
    <row r="238" hidden="1">
      <c r="A238" s="37" t="s">
        <v>649</v>
      </c>
      <c r="B238" s="32" t="s">
        <v>666</v>
      </c>
      <c r="C238" s="34" t="s">
        <v>667</v>
      </c>
      <c r="D238" s="34" t="s">
        <v>668</v>
      </c>
      <c r="E238" s="27" t="s">
        <v>669</v>
      </c>
      <c r="F238" s="22" t="s">
        <v>184</v>
      </c>
      <c r="G238" s="19" t="s">
        <v>63</v>
      </c>
      <c r="H238" s="23">
        <v>249.0</v>
      </c>
      <c r="I238" s="44" t="s">
        <v>64</v>
      </c>
      <c r="J238" s="25">
        <v>0.0</v>
      </c>
      <c r="K238" s="25">
        <f t="shared" si="18"/>
        <v>0</v>
      </c>
    </row>
    <row r="239" hidden="1">
      <c r="A239" s="37" t="s">
        <v>649</v>
      </c>
      <c r="B239" s="26" t="s">
        <v>670</v>
      </c>
      <c r="C239" s="101" t="s">
        <v>243</v>
      </c>
      <c r="D239" s="101" t="s">
        <v>671</v>
      </c>
      <c r="E239" s="102" t="s">
        <v>672</v>
      </c>
      <c r="F239" s="62" t="s">
        <v>184</v>
      </c>
      <c r="G239" s="79" t="s">
        <v>63</v>
      </c>
      <c r="H239" s="103">
        <v>185.0</v>
      </c>
      <c r="I239" s="51" t="s">
        <v>64</v>
      </c>
      <c r="J239" s="25">
        <v>0.0</v>
      </c>
      <c r="K239" s="25">
        <f t="shared" si="18"/>
        <v>0</v>
      </c>
    </row>
    <row r="240" hidden="1">
      <c r="A240" s="37" t="s">
        <v>649</v>
      </c>
      <c r="B240" s="26" t="s">
        <v>673</v>
      </c>
      <c r="C240" s="101" t="s">
        <v>243</v>
      </c>
      <c r="D240" s="101" t="s">
        <v>674</v>
      </c>
      <c r="E240" s="102" t="s">
        <v>675</v>
      </c>
      <c r="F240" s="62" t="s">
        <v>184</v>
      </c>
      <c r="G240" s="79" t="s">
        <v>63</v>
      </c>
      <c r="H240" s="103">
        <v>215.0</v>
      </c>
      <c r="I240" s="51" t="s">
        <v>64</v>
      </c>
      <c r="J240" s="25">
        <v>0.0</v>
      </c>
      <c r="K240" s="25">
        <f t="shared" si="18"/>
        <v>0</v>
      </c>
    </row>
    <row r="241" hidden="1">
      <c r="A241" s="12" t="s">
        <v>676</v>
      </c>
      <c r="B241" s="13"/>
      <c r="C241" s="13"/>
      <c r="D241" s="13"/>
      <c r="E241" s="13"/>
      <c r="F241" s="13"/>
      <c r="G241" s="13"/>
      <c r="H241" s="13"/>
      <c r="I241" s="14"/>
      <c r="J241" s="15"/>
      <c r="K241" s="15"/>
    </row>
    <row r="242" hidden="1">
      <c r="A242" s="87" t="s">
        <v>677</v>
      </c>
      <c r="B242" s="17" t="s">
        <v>678</v>
      </c>
      <c r="C242" s="19" t="s">
        <v>15</v>
      </c>
      <c r="D242" s="19" t="s">
        <v>679</v>
      </c>
      <c r="E242" s="39" t="s">
        <v>680</v>
      </c>
      <c r="F242" s="22" t="s">
        <v>18</v>
      </c>
      <c r="G242" s="19" t="s">
        <v>63</v>
      </c>
      <c r="H242" s="40">
        <v>175.0</v>
      </c>
      <c r="I242" s="29" t="s">
        <v>64</v>
      </c>
      <c r="J242" s="25">
        <v>0.0</v>
      </c>
      <c r="K242" s="25">
        <f t="shared" ref="K242:K260" si="19">PRODUCT(H242,J242)</f>
        <v>0</v>
      </c>
    </row>
    <row r="243" hidden="1">
      <c r="A243" s="87" t="s">
        <v>677</v>
      </c>
      <c r="B243" s="31" t="s">
        <v>681</v>
      </c>
      <c r="C243" s="19" t="s">
        <v>193</v>
      </c>
      <c r="D243" s="19" t="s">
        <v>572</v>
      </c>
      <c r="E243" s="39" t="s">
        <v>682</v>
      </c>
      <c r="F243" s="22" t="s">
        <v>18</v>
      </c>
      <c r="G243" s="19" t="s">
        <v>63</v>
      </c>
      <c r="H243" s="40">
        <v>279.0</v>
      </c>
      <c r="I243" s="29" t="s">
        <v>64</v>
      </c>
      <c r="J243" s="25">
        <v>0.0</v>
      </c>
      <c r="K243" s="25">
        <f t="shared" si="19"/>
        <v>0</v>
      </c>
    </row>
    <row r="244" hidden="1">
      <c r="A244" s="87" t="s">
        <v>677</v>
      </c>
      <c r="B244" s="31" t="s">
        <v>683</v>
      </c>
      <c r="C244" s="19" t="s">
        <v>684</v>
      </c>
      <c r="D244" s="19" t="s">
        <v>685</v>
      </c>
      <c r="E244" s="39" t="s">
        <v>686</v>
      </c>
      <c r="F244" s="22" t="s">
        <v>18</v>
      </c>
      <c r="G244" s="19" t="s">
        <v>63</v>
      </c>
      <c r="H244" s="40">
        <v>289.0</v>
      </c>
      <c r="I244" s="29" t="s">
        <v>64</v>
      </c>
      <c r="J244" s="25">
        <v>0.0</v>
      </c>
      <c r="K244" s="25">
        <f t="shared" si="19"/>
        <v>0</v>
      </c>
    </row>
    <row r="245" hidden="1">
      <c r="A245" s="87" t="s">
        <v>677</v>
      </c>
      <c r="B245" s="31" t="s">
        <v>687</v>
      </c>
      <c r="C245" s="19" t="s">
        <v>307</v>
      </c>
      <c r="D245" s="19" t="s">
        <v>182</v>
      </c>
      <c r="E245" s="39" t="s">
        <v>688</v>
      </c>
      <c r="F245" s="22" t="s">
        <v>18</v>
      </c>
      <c r="G245" s="19" t="s">
        <v>63</v>
      </c>
      <c r="H245" s="40">
        <v>199.0</v>
      </c>
      <c r="I245" s="29" t="s">
        <v>64</v>
      </c>
      <c r="J245" s="25">
        <v>0.0</v>
      </c>
      <c r="K245" s="25">
        <f t="shared" si="19"/>
        <v>0</v>
      </c>
    </row>
    <row r="246" hidden="1">
      <c r="A246" s="87" t="s">
        <v>677</v>
      </c>
      <c r="B246" s="31" t="s">
        <v>689</v>
      </c>
      <c r="C246" s="19" t="s">
        <v>193</v>
      </c>
      <c r="D246" s="19" t="s">
        <v>690</v>
      </c>
      <c r="E246" s="39" t="s">
        <v>691</v>
      </c>
      <c r="F246" s="22" t="s">
        <v>18</v>
      </c>
      <c r="G246" s="19" t="s">
        <v>63</v>
      </c>
      <c r="H246" s="40">
        <v>289.0</v>
      </c>
      <c r="I246" s="76">
        <v>9.0</v>
      </c>
      <c r="J246" s="25">
        <v>0.0</v>
      </c>
      <c r="K246" s="25">
        <f t="shared" si="19"/>
        <v>0</v>
      </c>
    </row>
    <row r="247" hidden="1">
      <c r="A247" s="87" t="s">
        <v>677</v>
      </c>
      <c r="B247" s="31" t="s">
        <v>692</v>
      </c>
      <c r="C247" s="19" t="s">
        <v>193</v>
      </c>
      <c r="D247" s="19" t="s">
        <v>572</v>
      </c>
      <c r="E247" s="39" t="s">
        <v>693</v>
      </c>
      <c r="F247" s="22" t="s">
        <v>18</v>
      </c>
      <c r="G247" s="19" t="s">
        <v>63</v>
      </c>
      <c r="H247" s="40">
        <v>279.0</v>
      </c>
      <c r="I247" s="76">
        <v>10.0</v>
      </c>
      <c r="J247" s="25">
        <v>0.0</v>
      </c>
      <c r="K247" s="25">
        <f t="shared" si="19"/>
        <v>0</v>
      </c>
    </row>
    <row r="248" hidden="1">
      <c r="A248" s="87" t="s">
        <v>677</v>
      </c>
      <c r="B248" s="31" t="s">
        <v>243</v>
      </c>
      <c r="C248" s="19" t="s">
        <v>243</v>
      </c>
      <c r="D248" s="19" t="s">
        <v>694</v>
      </c>
      <c r="E248" s="39" t="s">
        <v>695</v>
      </c>
      <c r="F248" s="22" t="s">
        <v>18</v>
      </c>
      <c r="G248" s="19" t="s">
        <v>63</v>
      </c>
      <c r="H248" s="40">
        <v>189.0</v>
      </c>
      <c r="I248" s="29" t="s">
        <v>64</v>
      </c>
      <c r="J248" s="25">
        <v>0.0</v>
      </c>
      <c r="K248" s="25">
        <f t="shared" si="19"/>
        <v>0</v>
      </c>
    </row>
    <row r="249" hidden="1">
      <c r="A249" s="87" t="s">
        <v>677</v>
      </c>
      <c r="B249" s="104" t="s">
        <v>46</v>
      </c>
      <c r="C249" s="105" t="s">
        <v>46</v>
      </c>
      <c r="D249" s="105" t="s">
        <v>270</v>
      </c>
      <c r="E249" s="106" t="s">
        <v>696</v>
      </c>
      <c r="F249" s="107" t="s">
        <v>18</v>
      </c>
      <c r="G249" s="105" t="s">
        <v>63</v>
      </c>
      <c r="H249" s="108">
        <v>165.0</v>
      </c>
      <c r="I249" s="109" t="s">
        <v>64</v>
      </c>
      <c r="J249" s="25">
        <v>0.0</v>
      </c>
      <c r="K249" s="25">
        <f t="shared" si="19"/>
        <v>0</v>
      </c>
    </row>
    <row r="250" hidden="1">
      <c r="A250" s="87" t="s">
        <v>677</v>
      </c>
      <c r="B250" s="31" t="s">
        <v>697</v>
      </c>
      <c r="C250" s="19" t="s">
        <v>698</v>
      </c>
      <c r="D250" s="19" t="s">
        <v>699</v>
      </c>
      <c r="E250" s="39" t="s">
        <v>700</v>
      </c>
      <c r="F250" s="22" t="s">
        <v>18</v>
      </c>
      <c r="G250" s="19" t="s">
        <v>63</v>
      </c>
      <c r="H250" s="40">
        <v>199.0</v>
      </c>
      <c r="I250" s="29" t="s">
        <v>64</v>
      </c>
      <c r="J250" s="25">
        <v>0.0</v>
      </c>
      <c r="K250" s="25">
        <f t="shared" si="19"/>
        <v>0</v>
      </c>
    </row>
    <row r="251" hidden="1">
      <c r="A251" s="87" t="s">
        <v>677</v>
      </c>
      <c r="B251" s="31" t="s">
        <v>42</v>
      </c>
      <c r="C251" s="19" t="s">
        <v>42</v>
      </c>
      <c r="D251" s="19" t="s">
        <v>701</v>
      </c>
      <c r="E251" s="39" t="s">
        <v>702</v>
      </c>
      <c r="F251" s="22" t="s">
        <v>18</v>
      </c>
      <c r="G251" s="19" t="s">
        <v>63</v>
      </c>
      <c r="H251" s="40">
        <v>189.0</v>
      </c>
      <c r="I251" s="29" t="s">
        <v>64</v>
      </c>
      <c r="J251" s="25">
        <v>0.0</v>
      </c>
      <c r="K251" s="25">
        <f t="shared" si="19"/>
        <v>0</v>
      </c>
    </row>
    <row r="252" hidden="1">
      <c r="A252" s="87" t="s">
        <v>677</v>
      </c>
      <c r="B252" s="31" t="s">
        <v>703</v>
      </c>
      <c r="C252" s="19" t="s">
        <v>115</v>
      </c>
      <c r="D252" s="19" t="s">
        <v>704</v>
      </c>
      <c r="E252" s="39" t="s">
        <v>705</v>
      </c>
      <c r="F252" s="22" t="s">
        <v>18</v>
      </c>
      <c r="G252" s="19" t="s">
        <v>63</v>
      </c>
      <c r="H252" s="40">
        <v>209.0</v>
      </c>
      <c r="I252" s="29" t="s">
        <v>64</v>
      </c>
      <c r="J252" s="25">
        <v>0.0</v>
      </c>
      <c r="K252" s="25">
        <f t="shared" si="19"/>
        <v>0</v>
      </c>
    </row>
    <row r="253" hidden="1">
      <c r="A253" s="87" t="s">
        <v>677</v>
      </c>
      <c r="B253" s="31" t="s">
        <v>460</v>
      </c>
      <c r="C253" s="19" t="s">
        <v>460</v>
      </c>
      <c r="D253" s="19" t="s">
        <v>706</v>
      </c>
      <c r="E253" s="39" t="s">
        <v>707</v>
      </c>
      <c r="F253" s="22" t="s">
        <v>18</v>
      </c>
      <c r="G253" s="19" t="s">
        <v>63</v>
      </c>
      <c r="H253" s="40">
        <v>189.0</v>
      </c>
      <c r="I253" s="29" t="s">
        <v>64</v>
      </c>
      <c r="J253" s="25">
        <v>0.0</v>
      </c>
      <c r="K253" s="25">
        <f t="shared" si="19"/>
        <v>0</v>
      </c>
    </row>
    <row r="254" hidden="1">
      <c r="A254" s="87" t="s">
        <v>677</v>
      </c>
      <c r="B254" s="31" t="s">
        <v>708</v>
      </c>
      <c r="C254" s="19" t="s">
        <v>22</v>
      </c>
      <c r="D254" s="19" t="s">
        <v>182</v>
      </c>
      <c r="E254" s="39" t="s">
        <v>709</v>
      </c>
      <c r="F254" s="22" t="s">
        <v>18</v>
      </c>
      <c r="G254" s="19" t="s">
        <v>63</v>
      </c>
      <c r="H254" s="40">
        <v>189.0</v>
      </c>
      <c r="I254" s="29" t="s">
        <v>64</v>
      </c>
      <c r="J254" s="25">
        <v>0.0</v>
      </c>
      <c r="K254" s="25">
        <f t="shared" si="19"/>
        <v>0</v>
      </c>
    </row>
    <row r="255" hidden="1">
      <c r="A255" s="87" t="s">
        <v>677</v>
      </c>
      <c r="B255" s="17" t="s">
        <v>710</v>
      </c>
      <c r="C255" s="19" t="s">
        <v>711</v>
      </c>
      <c r="D255" s="19" t="s">
        <v>712</v>
      </c>
      <c r="E255" s="39" t="s">
        <v>713</v>
      </c>
      <c r="F255" s="22" t="s">
        <v>153</v>
      </c>
      <c r="G255" s="19" t="s">
        <v>63</v>
      </c>
      <c r="H255" s="40">
        <v>165.0</v>
      </c>
      <c r="I255" s="51" t="s">
        <v>64</v>
      </c>
      <c r="J255" s="25">
        <v>0.0</v>
      </c>
      <c r="K255" s="25">
        <f t="shared" si="19"/>
        <v>0</v>
      </c>
    </row>
    <row r="256" hidden="1">
      <c r="A256" s="87" t="s">
        <v>677</v>
      </c>
      <c r="B256" s="31" t="s">
        <v>714</v>
      </c>
      <c r="C256" s="19" t="s">
        <v>711</v>
      </c>
      <c r="D256" s="19" t="s">
        <v>712</v>
      </c>
      <c r="E256" s="39" t="s">
        <v>713</v>
      </c>
      <c r="F256" s="22" t="s">
        <v>18</v>
      </c>
      <c r="G256" s="19" t="s">
        <v>63</v>
      </c>
      <c r="H256" s="40">
        <v>165.0</v>
      </c>
      <c r="I256" s="29" t="s">
        <v>64</v>
      </c>
      <c r="J256" s="25">
        <v>0.0</v>
      </c>
      <c r="K256" s="25">
        <f t="shared" si="19"/>
        <v>0</v>
      </c>
    </row>
    <row r="257" hidden="1">
      <c r="A257" s="87" t="s">
        <v>677</v>
      </c>
      <c r="B257" s="31" t="s">
        <v>715</v>
      </c>
      <c r="C257" s="19" t="s">
        <v>716</v>
      </c>
      <c r="D257" s="19" t="s">
        <v>182</v>
      </c>
      <c r="E257" s="42" t="s">
        <v>717</v>
      </c>
      <c r="F257" s="22" t="s">
        <v>18</v>
      </c>
      <c r="G257" s="19" t="s">
        <v>63</v>
      </c>
      <c r="H257" s="40">
        <v>259.0</v>
      </c>
      <c r="I257" s="29" t="s">
        <v>64</v>
      </c>
      <c r="J257" s="25">
        <v>0.0</v>
      </c>
      <c r="K257" s="25">
        <f t="shared" si="19"/>
        <v>0</v>
      </c>
    </row>
    <row r="258" hidden="1">
      <c r="A258" s="87" t="s">
        <v>677</v>
      </c>
      <c r="B258" s="17" t="s">
        <v>718</v>
      </c>
      <c r="C258" s="19" t="s">
        <v>719</v>
      </c>
      <c r="D258" s="19" t="s">
        <v>270</v>
      </c>
      <c r="E258" s="39" t="s">
        <v>720</v>
      </c>
      <c r="F258" s="22" t="s">
        <v>153</v>
      </c>
      <c r="G258" s="19" t="s">
        <v>63</v>
      </c>
      <c r="H258" s="40">
        <v>175.0</v>
      </c>
      <c r="I258" s="51" t="s">
        <v>64</v>
      </c>
      <c r="J258" s="25">
        <v>0.0</v>
      </c>
      <c r="K258" s="25">
        <f t="shared" si="19"/>
        <v>0</v>
      </c>
    </row>
    <row r="259" hidden="1">
      <c r="A259" s="87" t="s">
        <v>677</v>
      </c>
      <c r="B259" s="17" t="s">
        <v>719</v>
      </c>
      <c r="C259" s="19" t="s">
        <v>719</v>
      </c>
      <c r="D259" s="19" t="s">
        <v>270</v>
      </c>
      <c r="E259" s="39" t="s">
        <v>720</v>
      </c>
      <c r="F259" s="22" t="s">
        <v>18</v>
      </c>
      <c r="G259" s="19" t="s">
        <v>63</v>
      </c>
      <c r="H259" s="40">
        <v>175.0</v>
      </c>
      <c r="I259" s="29" t="s">
        <v>64</v>
      </c>
      <c r="J259" s="25">
        <v>0.0</v>
      </c>
      <c r="K259" s="25">
        <f t="shared" si="19"/>
        <v>0</v>
      </c>
    </row>
    <row r="260" hidden="1">
      <c r="A260" s="87" t="s">
        <v>677</v>
      </c>
      <c r="B260" s="31" t="s">
        <v>721</v>
      </c>
      <c r="C260" s="19" t="s">
        <v>722</v>
      </c>
      <c r="D260" s="19" t="s">
        <v>723</v>
      </c>
      <c r="E260" s="39" t="s">
        <v>724</v>
      </c>
      <c r="F260" s="22" t="s">
        <v>18</v>
      </c>
      <c r="G260" s="19" t="s">
        <v>63</v>
      </c>
      <c r="H260" s="40">
        <v>249.0</v>
      </c>
      <c r="I260" s="29" t="s">
        <v>64</v>
      </c>
      <c r="J260" s="25">
        <v>0.0</v>
      </c>
      <c r="K260" s="25">
        <f t="shared" si="19"/>
        <v>0</v>
      </c>
    </row>
    <row r="261" hidden="1">
      <c r="A261" s="99" t="s">
        <v>725</v>
      </c>
      <c r="B261" s="13"/>
      <c r="C261" s="13"/>
      <c r="D261" s="13"/>
      <c r="E261" s="13"/>
      <c r="F261" s="13"/>
      <c r="G261" s="13"/>
      <c r="H261" s="13"/>
      <c r="I261" s="14"/>
      <c r="J261" s="100"/>
      <c r="K261" s="100"/>
    </row>
    <row r="262" hidden="1">
      <c r="A262" s="37" t="s">
        <v>726</v>
      </c>
      <c r="B262" s="31" t="s">
        <v>727</v>
      </c>
      <c r="C262" s="19" t="s">
        <v>728</v>
      </c>
      <c r="D262" s="19" t="s">
        <v>729</v>
      </c>
      <c r="E262" s="39" t="s">
        <v>730</v>
      </c>
      <c r="F262" s="22" t="s">
        <v>18</v>
      </c>
      <c r="G262" s="19" t="s">
        <v>154</v>
      </c>
      <c r="H262" s="40">
        <v>249.0</v>
      </c>
      <c r="I262" s="44" t="s">
        <v>64</v>
      </c>
      <c r="J262" s="25">
        <v>0.0</v>
      </c>
      <c r="K262" s="25">
        <f>PRODUCT(H262,J262)</f>
        <v>0</v>
      </c>
    </row>
    <row r="263" hidden="1">
      <c r="A263" s="65" t="s">
        <v>731</v>
      </c>
      <c r="B263" s="66"/>
      <c r="C263" s="66"/>
      <c r="D263" s="66"/>
      <c r="E263" s="66"/>
      <c r="F263" s="66"/>
      <c r="G263" s="66"/>
      <c r="H263" s="66"/>
      <c r="I263" s="110"/>
      <c r="J263" s="59"/>
      <c r="K263" s="59"/>
    </row>
    <row r="264" hidden="1">
      <c r="A264" s="37" t="s">
        <v>732</v>
      </c>
      <c r="B264" s="32" t="s">
        <v>733</v>
      </c>
      <c r="C264" s="34" t="s">
        <v>150</v>
      </c>
      <c r="D264" s="34" t="s">
        <v>734</v>
      </c>
      <c r="E264" s="27" t="s">
        <v>735</v>
      </c>
      <c r="F264" s="34" t="s">
        <v>603</v>
      </c>
      <c r="G264" s="19" t="s">
        <v>63</v>
      </c>
      <c r="H264" s="57">
        <v>195.0</v>
      </c>
      <c r="I264" s="33" t="s">
        <v>64</v>
      </c>
      <c r="J264" s="25">
        <v>0.0</v>
      </c>
      <c r="K264" s="25">
        <f t="shared" ref="K264:K267" si="20">PRODUCT(H264,J264)</f>
        <v>0</v>
      </c>
    </row>
    <row r="265">
      <c r="A265" s="37" t="s">
        <v>732</v>
      </c>
      <c r="B265" s="26" t="s">
        <v>736</v>
      </c>
      <c r="C265" s="75" t="s">
        <v>150</v>
      </c>
      <c r="D265" s="75" t="s">
        <v>119</v>
      </c>
      <c r="E265" s="111" t="s">
        <v>737</v>
      </c>
      <c r="F265" s="112" t="s">
        <v>738</v>
      </c>
      <c r="G265" s="45" t="s">
        <v>154</v>
      </c>
      <c r="H265" s="113">
        <v>239.0</v>
      </c>
      <c r="I265" s="51" t="s">
        <v>64</v>
      </c>
      <c r="J265" s="25">
        <v>10.0</v>
      </c>
      <c r="K265" s="25">
        <f t="shared" si="20"/>
        <v>2390</v>
      </c>
    </row>
    <row r="266" hidden="1">
      <c r="A266" s="37" t="s">
        <v>732</v>
      </c>
      <c r="B266" s="114" t="s">
        <v>739</v>
      </c>
      <c r="C266" s="75" t="s">
        <v>150</v>
      </c>
      <c r="D266" s="75" t="s">
        <v>734</v>
      </c>
      <c r="E266" s="115" t="s">
        <v>740</v>
      </c>
      <c r="F266" s="112" t="s">
        <v>156</v>
      </c>
      <c r="G266" s="45" t="s">
        <v>741</v>
      </c>
      <c r="H266" s="113">
        <v>809.0</v>
      </c>
      <c r="I266" s="51" t="s">
        <v>64</v>
      </c>
      <c r="J266" s="25">
        <v>0.0</v>
      </c>
      <c r="K266" s="25">
        <f t="shared" si="20"/>
        <v>0</v>
      </c>
    </row>
    <row r="267" hidden="1">
      <c r="A267" s="37" t="s">
        <v>732</v>
      </c>
      <c r="B267" s="114" t="s">
        <v>742</v>
      </c>
      <c r="C267" s="75" t="s">
        <v>150</v>
      </c>
      <c r="D267" s="75" t="s">
        <v>119</v>
      </c>
      <c r="E267" s="115" t="s">
        <v>743</v>
      </c>
      <c r="F267" s="112" t="s">
        <v>156</v>
      </c>
      <c r="G267" s="45" t="s">
        <v>741</v>
      </c>
      <c r="H267" s="113">
        <v>755.0</v>
      </c>
      <c r="I267" s="51" t="s">
        <v>64</v>
      </c>
      <c r="J267" s="25">
        <v>0.0</v>
      </c>
      <c r="K267" s="25">
        <f t="shared" si="20"/>
        <v>0</v>
      </c>
    </row>
    <row r="268" hidden="1">
      <c r="A268" s="58" t="s">
        <v>744</v>
      </c>
      <c r="B268" s="13"/>
      <c r="C268" s="13"/>
      <c r="D268" s="13"/>
      <c r="E268" s="13"/>
      <c r="F268" s="13"/>
      <c r="G268" s="13"/>
      <c r="H268" s="13"/>
      <c r="I268" s="14"/>
      <c r="J268" s="59"/>
      <c r="K268" s="59"/>
    </row>
    <row r="269" hidden="1">
      <c r="A269" s="37" t="s">
        <v>745</v>
      </c>
      <c r="B269" s="31" t="s">
        <v>746</v>
      </c>
      <c r="C269" s="18" t="s">
        <v>534</v>
      </c>
      <c r="D269" s="19" t="s">
        <v>119</v>
      </c>
      <c r="E269" s="39" t="s">
        <v>747</v>
      </c>
      <c r="F269" s="22" t="s">
        <v>18</v>
      </c>
      <c r="G269" s="19" t="s">
        <v>63</v>
      </c>
      <c r="H269" s="40">
        <v>255.0</v>
      </c>
      <c r="I269" s="24" t="s">
        <v>20</v>
      </c>
      <c r="J269" s="25">
        <v>0.0</v>
      </c>
      <c r="K269" s="25">
        <f t="shared" ref="K269:K289" si="21">PRODUCT(H269,J269)</f>
        <v>0</v>
      </c>
    </row>
    <row r="270" hidden="1">
      <c r="A270" s="37" t="s">
        <v>745</v>
      </c>
      <c r="B270" s="31" t="s">
        <v>748</v>
      </c>
      <c r="C270" s="19" t="s">
        <v>193</v>
      </c>
      <c r="D270" s="19" t="s">
        <v>749</v>
      </c>
      <c r="E270" s="39" t="s">
        <v>750</v>
      </c>
      <c r="F270" s="22" t="s">
        <v>18</v>
      </c>
      <c r="G270" s="19" t="s">
        <v>63</v>
      </c>
      <c r="H270" s="49">
        <v>289.0</v>
      </c>
      <c r="I270" s="29" t="s">
        <v>64</v>
      </c>
      <c r="J270" s="25">
        <v>0.0</v>
      </c>
      <c r="K270" s="25">
        <f t="shared" si="21"/>
        <v>0</v>
      </c>
    </row>
    <row r="271" hidden="1">
      <c r="A271" s="37" t="s">
        <v>745</v>
      </c>
      <c r="B271" s="31" t="s">
        <v>751</v>
      </c>
      <c r="C271" s="19" t="s">
        <v>243</v>
      </c>
      <c r="D271" s="19" t="s">
        <v>90</v>
      </c>
      <c r="E271" s="39" t="s">
        <v>752</v>
      </c>
      <c r="F271" s="22" t="s">
        <v>18</v>
      </c>
      <c r="G271" s="19" t="s">
        <v>63</v>
      </c>
      <c r="H271" s="40">
        <v>205.0</v>
      </c>
      <c r="I271" s="48">
        <v>2.0</v>
      </c>
      <c r="J271" s="25">
        <v>0.0</v>
      </c>
      <c r="K271" s="25">
        <f t="shared" si="21"/>
        <v>0</v>
      </c>
    </row>
    <row r="272" hidden="1">
      <c r="A272" s="37" t="s">
        <v>745</v>
      </c>
      <c r="B272" s="31" t="s">
        <v>753</v>
      </c>
      <c r="C272" s="19" t="s">
        <v>307</v>
      </c>
      <c r="D272" s="19" t="s">
        <v>119</v>
      </c>
      <c r="E272" s="39" t="s">
        <v>754</v>
      </c>
      <c r="F272" s="22" t="s">
        <v>18</v>
      </c>
      <c r="G272" s="19" t="s">
        <v>63</v>
      </c>
      <c r="H272" s="40">
        <v>205.0</v>
      </c>
      <c r="I272" s="76">
        <v>2.0</v>
      </c>
      <c r="J272" s="25">
        <v>0.0</v>
      </c>
      <c r="K272" s="25">
        <f t="shared" si="21"/>
        <v>0</v>
      </c>
    </row>
    <row r="273" hidden="1">
      <c r="A273" s="37" t="s">
        <v>745</v>
      </c>
      <c r="B273" s="17" t="s">
        <v>755</v>
      </c>
      <c r="C273" s="116" t="s">
        <v>15</v>
      </c>
      <c r="D273" s="116" t="s">
        <v>151</v>
      </c>
      <c r="E273" s="117" t="s">
        <v>756</v>
      </c>
      <c r="F273" s="86" t="s">
        <v>105</v>
      </c>
      <c r="G273" s="116" t="s">
        <v>63</v>
      </c>
      <c r="H273" s="49">
        <v>165.0</v>
      </c>
      <c r="I273" s="33" t="s">
        <v>64</v>
      </c>
      <c r="J273" s="25">
        <v>0.0</v>
      </c>
      <c r="K273" s="25">
        <f t="shared" si="21"/>
        <v>0</v>
      </c>
    </row>
    <row r="274" hidden="1">
      <c r="A274" s="37" t="s">
        <v>745</v>
      </c>
      <c r="B274" s="31" t="s">
        <v>757</v>
      </c>
      <c r="C274" s="19" t="s">
        <v>243</v>
      </c>
      <c r="D274" s="19" t="s">
        <v>90</v>
      </c>
      <c r="E274" s="39" t="s">
        <v>758</v>
      </c>
      <c r="F274" s="22" t="s">
        <v>18</v>
      </c>
      <c r="G274" s="19" t="s">
        <v>63</v>
      </c>
      <c r="H274" s="40">
        <v>205.0</v>
      </c>
      <c r="I274" s="29" t="s">
        <v>64</v>
      </c>
      <c r="J274" s="25">
        <v>0.0</v>
      </c>
      <c r="K274" s="25">
        <f t="shared" si="21"/>
        <v>0</v>
      </c>
    </row>
    <row r="275" hidden="1">
      <c r="A275" s="37" t="s">
        <v>745</v>
      </c>
      <c r="B275" s="31" t="s">
        <v>759</v>
      </c>
      <c r="C275" s="19" t="s">
        <v>243</v>
      </c>
      <c r="D275" s="19" t="s">
        <v>90</v>
      </c>
      <c r="E275" s="42" t="s">
        <v>760</v>
      </c>
      <c r="F275" s="22" t="s">
        <v>18</v>
      </c>
      <c r="G275" s="19" t="s">
        <v>63</v>
      </c>
      <c r="H275" s="40">
        <v>195.0</v>
      </c>
      <c r="I275" s="29" t="s">
        <v>64</v>
      </c>
      <c r="J275" s="25">
        <v>0.0</v>
      </c>
      <c r="K275" s="25">
        <f t="shared" si="21"/>
        <v>0</v>
      </c>
    </row>
    <row r="276" hidden="1">
      <c r="A276" s="37" t="s">
        <v>745</v>
      </c>
      <c r="B276" s="31" t="s">
        <v>761</v>
      </c>
      <c r="C276" s="19" t="s">
        <v>243</v>
      </c>
      <c r="D276" s="19" t="s">
        <v>90</v>
      </c>
      <c r="E276" s="39" t="s">
        <v>762</v>
      </c>
      <c r="F276" s="22" t="s">
        <v>105</v>
      </c>
      <c r="G276" s="19" t="s">
        <v>63</v>
      </c>
      <c r="H276" s="40">
        <v>195.0</v>
      </c>
      <c r="I276" s="29" t="s">
        <v>64</v>
      </c>
      <c r="J276" s="25">
        <v>0.0</v>
      </c>
      <c r="K276" s="25">
        <f t="shared" si="21"/>
        <v>0</v>
      </c>
    </row>
    <row r="277" hidden="1">
      <c r="A277" s="37" t="s">
        <v>745</v>
      </c>
      <c r="B277" s="31" t="s">
        <v>763</v>
      </c>
      <c r="C277" s="19" t="s">
        <v>243</v>
      </c>
      <c r="D277" s="19" t="s">
        <v>90</v>
      </c>
      <c r="E277" s="39" t="s">
        <v>764</v>
      </c>
      <c r="F277" s="22" t="s">
        <v>18</v>
      </c>
      <c r="G277" s="19" t="s">
        <v>63</v>
      </c>
      <c r="H277" s="40">
        <v>209.0</v>
      </c>
      <c r="I277" s="24" t="s">
        <v>20</v>
      </c>
      <c r="J277" s="25">
        <v>0.0</v>
      </c>
      <c r="K277" s="25">
        <f t="shared" si="21"/>
        <v>0</v>
      </c>
    </row>
    <row r="278" hidden="1">
      <c r="A278" s="37" t="s">
        <v>745</v>
      </c>
      <c r="B278" s="31" t="s">
        <v>765</v>
      </c>
      <c r="C278" s="18" t="s">
        <v>766</v>
      </c>
      <c r="D278" s="19" t="s">
        <v>767</v>
      </c>
      <c r="E278" s="39" t="s">
        <v>768</v>
      </c>
      <c r="F278" s="22" t="s">
        <v>345</v>
      </c>
      <c r="G278" s="19" t="s">
        <v>63</v>
      </c>
      <c r="H278" s="40">
        <v>395.0</v>
      </c>
      <c r="I278" s="24" t="s">
        <v>20</v>
      </c>
      <c r="J278" s="25">
        <v>0.0</v>
      </c>
      <c r="K278" s="25">
        <f t="shared" si="21"/>
        <v>0</v>
      </c>
    </row>
    <row r="279" hidden="1">
      <c r="A279" s="37" t="s">
        <v>745</v>
      </c>
      <c r="B279" s="17" t="s">
        <v>769</v>
      </c>
      <c r="C279" s="19" t="s">
        <v>770</v>
      </c>
      <c r="D279" s="19" t="s">
        <v>771</v>
      </c>
      <c r="E279" s="39" t="s">
        <v>772</v>
      </c>
      <c r="F279" s="22" t="s">
        <v>18</v>
      </c>
      <c r="G279" s="19" t="s">
        <v>63</v>
      </c>
      <c r="H279" s="40">
        <v>185.0</v>
      </c>
      <c r="I279" s="44" t="s">
        <v>64</v>
      </c>
      <c r="J279" s="25">
        <v>0.0</v>
      </c>
      <c r="K279" s="25">
        <f t="shared" si="21"/>
        <v>0</v>
      </c>
    </row>
    <row r="280" hidden="1">
      <c r="A280" s="37" t="s">
        <v>745</v>
      </c>
      <c r="B280" s="31" t="s">
        <v>773</v>
      </c>
      <c r="C280" s="19" t="s">
        <v>774</v>
      </c>
      <c r="D280" s="19" t="s">
        <v>775</v>
      </c>
      <c r="E280" s="39" t="s">
        <v>776</v>
      </c>
      <c r="F280" s="22" t="s">
        <v>345</v>
      </c>
      <c r="G280" s="19" t="s">
        <v>63</v>
      </c>
      <c r="H280" s="40">
        <v>375.0</v>
      </c>
      <c r="I280" s="29" t="s">
        <v>64</v>
      </c>
      <c r="J280" s="25">
        <v>0.0</v>
      </c>
      <c r="K280" s="25">
        <f t="shared" si="21"/>
        <v>0</v>
      </c>
    </row>
    <row r="281" hidden="1">
      <c r="A281" s="37" t="s">
        <v>745</v>
      </c>
      <c r="B281" s="17" t="s">
        <v>777</v>
      </c>
      <c r="C281" s="19" t="s">
        <v>243</v>
      </c>
      <c r="D281" s="19" t="s">
        <v>771</v>
      </c>
      <c r="E281" s="39" t="s">
        <v>778</v>
      </c>
      <c r="F281" s="22" t="s">
        <v>18</v>
      </c>
      <c r="G281" s="19" t="s">
        <v>63</v>
      </c>
      <c r="H281" s="40">
        <v>179.0</v>
      </c>
      <c r="I281" s="44" t="s">
        <v>64</v>
      </c>
      <c r="J281" s="25">
        <v>0.0</v>
      </c>
      <c r="K281" s="25">
        <f t="shared" si="21"/>
        <v>0</v>
      </c>
    </row>
    <row r="282" hidden="1">
      <c r="A282" s="37" t="s">
        <v>745</v>
      </c>
      <c r="B282" s="31" t="s">
        <v>779</v>
      </c>
      <c r="C282" s="19" t="s">
        <v>307</v>
      </c>
      <c r="D282" s="19" t="s">
        <v>780</v>
      </c>
      <c r="E282" s="39" t="s">
        <v>781</v>
      </c>
      <c r="F282" s="22" t="s">
        <v>105</v>
      </c>
      <c r="G282" s="19" t="s">
        <v>63</v>
      </c>
      <c r="H282" s="40">
        <v>205.0</v>
      </c>
      <c r="I282" s="33" t="s">
        <v>64</v>
      </c>
      <c r="J282" s="25">
        <v>0.0</v>
      </c>
      <c r="K282" s="25">
        <f t="shared" si="21"/>
        <v>0</v>
      </c>
    </row>
    <row r="283" hidden="1">
      <c r="A283" s="37" t="s">
        <v>745</v>
      </c>
      <c r="B283" s="31" t="s">
        <v>782</v>
      </c>
      <c r="C283" s="19" t="s">
        <v>193</v>
      </c>
      <c r="D283" s="19" t="s">
        <v>90</v>
      </c>
      <c r="E283" s="39" t="s">
        <v>783</v>
      </c>
      <c r="F283" s="22" t="s">
        <v>18</v>
      </c>
      <c r="G283" s="19" t="s">
        <v>63</v>
      </c>
      <c r="H283" s="40">
        <v>215.0</v>
      </c>
      <c r="I283" s="24" t="s">
        <v>20</v>
      </c>
      <c r="J283" s="25">
        <v>0.0</v>
      </c>
      <c r="K283" s="25">
        <f t="shared" si="21"/>
        <v>0</v>
      </c>
    </row>
    <row r="284" hidden="1">
      <c r="A284" s="37" t="s">
        <v>745</v>
      </c>
      <c r="B284" s="31" t="s">
        <v>784</v>
      </c>
      <c r="C284" s="19" t="s">
        <v>42</v>
      </c>
      <c r="D284" s="19" t="s">
        <v>517</v>
      </c>
      <c r="E284" s="39" t="s">
        <v>785</v>
      </c>
      <c r="F284" s="22" t="s">
        <v>18</v>
      </c>
      <c r="G284" s="19" t="s">
        <v>63</v>
      </c>
      <c r="H284" s="40">
        <v>235.0</v>
      </c>
      <c r="I284" s="33" t="s">
        <v>64</v>
      </c>
      <c r="J284" s="25">
        <v>0.0</v>
      </c>
      <c r="K284" s="25">
        <f t="shared" si="21"/>
        <v>0</v>
      </c>
    </row>
    <row r="285" hidden="1">
      <c r="A285" s="37" t="s">
        <v>745</v>
      </c>
      <c r="B285" s="31" t="s">
        <v>786</v>
      </c>
      <c r="C285" s="18" t="s">
        <v>395</v>
      </c>
      <c r="D285" s="19" t="s">
        <v>90</v>
      </c>
      <c r="E285" s="39" t="s">
        <v>787</v>
      </c>
      <c r="F285" s="22" t="s">
        <v>18</v>
      </c>
      <c r="G285" s="19" t="s">
        <v>63</v>
      </c>
      <c r="H285" s="40">
        <v>235.0</v>
      </c>
      <c r="I285" s="24" t="s">
        <v>20</v>
      </c>
      <c r="J285" s="25">
        <v>0.0</v>
      </c>
      <c r="K285" s="25">
        <f t="shared" si="21"/>
        <v>0</v>
      </c>
    </row>
    <row r="286" hidden="1">
      <c r="A286" s="37" t="s">
        <v>745</v>
      </c>
      <c r="B286" s="17" t="s">
        <v>788</v>
      </c>
      <c r="C286" s="18" t="s">
        <v>789</v>
      </c>
      <c r="D286" s="19" t="s">
        <v>749</v>
      </c>
      <c r="E286" s="39" t="s">
        <v>790</v>
      </c>
      <c r="F286" s="22" t="s">
        <v>18</v>
      </c>
      <c r="G286" s="19" t="s">
        <v>63</v>
      </c>
      <c r="H286" s="40">
        <v>259.0</v>
      </c>
      <c r="I286" s="76">
        <v>2.0</v>
      </c>
      <c r="J286" s="25">
        <v>0.0</v>
      </c>
      <c r="K286" s="25">
        <f t="shared" si="21"/>
        <v>0</v>
      </c>
    </row>
    <row r="287" hidden="1">
      <c r="A287" s="37" t="s">
        <v>745</v>
      </c>
      <c r="B287" s="17" t="s">
        <v>791</v>
      </c>
      <c r="C287" s="19" t="s">
        <v>15</v>
      </c>
      <c r="D287" s="19" t="s">
        <v>251</v>
      </c>
      <c r="E287" s="39" t="s">
        <v>792</v>
      </c>
      <c r="F287" s="22" t="s">
        <v>18</v>
      </c>
      <c r="G287" s="19" t="s">
        <v>63</v>
      </c>
      <c r="H287" s="40">
        <v>169.0</v>
      </c>
      <c r="I287" s="33" t="s">
        <v>64</v>
      </c>
      <c r="J287" s="25">
        <v>0.0</v>
      </c>
      <c r="K287" s="25">
        <f t="shared" si="21"/>
        <v>0</v>
      </c>
    </row>
    <row r="288" hidden="1">
      <c r="A288" s="37" t="s">
        <v>745</v>
      </c>
      <c r="B288" s="31" t="s">
        <v>793</v>
      </c>
      <c r="C288" s="19" t="s">
        <v>794</v>
      </c>
      <c r="D288" s="19" t="s">
        <v>90</v>
      </c>
      <c r="E288" s="39" t="s">
        <v>795</v>
      </c>
      <c r="F288" s="22" t="s">
        <v>18</v>
      </c>
      <c r="G288" s="19" t="s">
        <v>63</v>
      </c>
      <c r="H288" s="40">
        <v>175.0</v>
      </c>
      <c r="I288" s="24" t="s">
        <v>20</v>
      </c>
      <c r="J288" s="25">
        <v>0.0</v>
      </c>
      <c r="K288" s="25">
        <f t="shared" si="21"/>
        <v>0</v>
      </c>
    </row>
    <row r="289" hidden="1">
      <c r="A289" s="37" t="s">
        <v>745</v>
      </c>
      <c r="B289" s="31" t="s">
        <v>796</v>
      </c>
      <c r="C289" s="18" t="s">
        <v>766</v>
      </c>
      <c r="D289" s="19" t="s">
        <v>775</v>
      </c>
      <c r="E289" s="39" t="s">
        <v>797</v>
      </c>
      <c r="F289" s="22" t="s">
        <v>345</v>
      </c>
      <c r="G289" s="19" t="s">
        <v>63</v>
      </c>
      <c r="H289" s="40">
        <v>375.0</v>
      </c>
      <c r="I289" s="29" t="s">
        <v>64</v>
      </c>
      <c r="J289" s="25">
        <v>0.0</v>
      </c>
      <c r="K289" s="25">
        <f t="shared" si="21"/>
        <v>0</v>
      </c>
    </row>
    <row r="290" hidden="1">
      <c r="A290" s="58" t="s">
        <v>798</v>
      </c>
      <c r="B290" s="13"/>
      <c r="C290" s="13"/>
      <c r="D290" s="13"/>
      <c r="E290" s="13"/>
      <c r="F290" s="13"/>
      <c r="G290" s="13"/>
      <c r="H290" s="13"/>
      <c r="I290" s="14"/>
      <c r="J290" s="59"/>
      <c r="K290" s="59"/>
    </row>
    <row r="291" hidden="1">
      <c r="A291" s="37" t="s">
        <v>799</v>
      </c>
      <c r="B291" s="30" t="s">
        <v>800</v>
      </c>
      <c r="C291" s="19" t="s">
        <v>193</v>
      </c>
      <c r="D291" s="19" t="s">
        <v>801</v>
      </c>
      <c r="E291" s="39" t="s">
        <v>802</v>
      </c>
      <c r="F291" s="22" t="s">
        <v>18</v>
      </c>
      <c r="G291" s="19" t="s">
        <v>19</v>
      </c>
      <c r="H291" s="40">
        <v>245.0</v>
      </c>
      <c r="I291" s="24" t="s">
        <v>20</v>
      </c>
      <c r="J291" s="25">
        <v>0.0</v>
      </c>
      <c r="K291" s="25">
        <f t="shared" ref="K291:K306" si="22">PRODUCT(H291,J291)</f>
        <v>0</v>
      </c>
    </row>
    <row r="292" hidden="1">
      <c r="A292" s="37" t="s">
        <v>799</v>
      </c>
      <c r="B292" s="28" t="s">
        <v>803</v>
      </c>
      <c r="C292" s="19" t="s">
        <v>193</v>
      </c>
      <c r="D292" s="19" t="s">
        <v>801</v>
      </c>
      <c r="E292" s="39" t="s">
        <v>804</v>
      </c>
      <c r="F292" s="22" t="s">
        <v>18</v>
      </c>
      <c r="G292" s="19" t="s">
        <v>19</v>
      </c>
      <c r="H292" s="40">
        <v>245.0</v>
      </c>
      <c r="I292" s="24" t="s">
        <v>20</v>
      </c>
      <c r="J292" s="25">
        <v>0.0</v>
      </c>
      <c r="K292" s="25">
        <f t="shared" si="22"/>
        <v>0</v>
      </c>
    </row>
    <row r="293" hidden="1">
      <c r="A293" s="37" t="s">
        <v>799</v>
      </c>
      <c r="B293" s="30" t="s">
        <v>698</v>
      </c>
      <c r="C293" s="19" t="s">
        <v>698</v>
      </c>
      <c r="D293" s="19" t="s">
        <v>805</v>
      </c>
      <c r="E293" s="39" t="s">
        <v>806</v>
      </c>
      <c r="F293" s="22" t="s">
        <v>18</v>
      </c>
      <c r="G293" s="19" t="s">
        <v>19</v>
      </c>
      <c r="H293" s="40">
        <v>185.0</v>
      </c>
      <c r="I293" s="29" t="s">
        <v>64</v>
      </c>
      <c r="J293" s="25">
        <v>0.0</v>
      </c>
      <c r="K293" s="25">
        <f t="shared" si="22"/>
        <v>0</v>
      </c>
    </row>
    <row r="294" hidden="1">
      <c r="A294" s="37" t="s">
        <v>799</v>
      </c>
      <c r="B294" s="17" t="s">
        <v>807</v>
      </c>
      <c r="C294" s="19" t="s">
        <v>22</v>
      </c>
      <c r="D294" s="19" t="s">
        <v>808</v>
      </c>
      <c r="E294" s="39" t="s">
        <v>809</v>
      </c>
      <c r="F294" s="22" t="s">
        <v>18</v>
      </c>
      <c r="G294" s="19" t="s">
        <v>19</v>
      </c>
      <c r="H294" s="40">
        <v>225.0</v>
      </c>
      <c r="I294" s="44" t="s">
        <v>64</v>
      </c>
      <c r="J294" s="25">
        <v>0.0</v>
      </c>
      <c r="K294" s="25">
        <f t="shared" si="22"/>
        <v>0</v>
      </c>
    </row>
    <row r="295" hidden="1">
      <c r="A295" s="37" t="s">
        <v>799</v>
      </c>
      <c r="B295" s="17" t="s">
        <v>687</v>
      </c>
      <c r="C295" s="19" t="s">
        <v>307</v>
      </c>
      <c r="D295" s="19" t="s">
        <v>810</v>
      </c>
      <c r="E295" s="39" t="s">
        <v>811</v>
      </c>
      <c r="F295" s="22" t="s">
        <v>312</v>
      </c>
      <c r="G295" s="19" t="s">
        <v>19</v>
      </c>
      <c r="H295" s="40">
        <v>159.0</v>
      </c>
      <c r="I295" s="29" t="s">
        <v>64</v>
      </c>
      <c r="J295" s="25">
        <v>0.0</v>
      </c>
      <c r="K295" s="25">
        <f t="shared" si="22"/>
        <v>0</v>
      </c>
    </row>
    <row r="296" hidden="1">
      <c r="A296" s="37" t="s">
        <v>799</v>
      </c>
      <c r="B296" s="17" t="s">
        <v>503</v>
      </c>
      <c r="C296" s="19" t="s">
        <v>503</v>
      </c>
      <c r="D296" s="19" t="s">
        <v>119</v>
      </c>
      <c r="E296" s="39" t="s">
        <v>812</v>
      </c>
      <c r="F296" s="22" t="s">
        <v>312</v>
      </c>
      <c r="G296" s="19" t="s">
        <v>19</v>
      </c>
      <c r="H296" s="40">
        <v>169.0</v>
      </c>
      <c r="I296" s="29" t="s">
        <v>64</v>
      </c>
      <c r="J296" s="25">
        <v>0.0</v>
      </c>
      <c r="K296" s="25">
        <f t="shared" si="22"/>
        <v>0</v>
      </c>
    </row>
    <row r="297" hidden="1">
      <c r="A297" s="37" t="s">
        <v>799</v>
      </c>
      <c r="B297" s="31" t="s">
        <v>813</v>
      </c>
      <c r="C297" s="19" t="s">
        <v>15</v>
      </c>
      <c r="D297" s="19" t="s">
        <v>814</v>
      </c>
      <c r="E297" s="39" t="s">
        <v>815</v>
      </c>
      <c r="F297" s="22" t="s">
        <v>184</v>
      </c>
      <c r="G297" s="19" t="s">
        <v>19</v>
      </c>
      <c r="H297" s="49">
        <v>175.0</v>
      </c>
      <c r="I297" s="44" t="s">
        <v>64</v>
      </c>
      <c r="J297" s="25">
        <v>0.0</v>
      </c>
      <c r="K297" s="25">
        <f t="shared" si="22"/>
        <v>0</v>
      </c>
    </row>
    <row r="298" hidden="1">
      <c r="A298" s="37" t="s">
        <v>799</v>
      </c>
      <c r="B298" s="17" t="s">
        <v>816</v>
      </c>
      <c r="C298" s="19" t="s">
        <v>816</v>
      </c>
      <c r="D298" s="19" t="s">
        <v>817</v>
      </c>
      <c r="E298" s="39" t="s">
        <v>818</v>
      </c>
      <c r="F298" s="22" t="s">
        <v>18</v>
      </c>
      <c r="G298" s="19" t="s">
        <v>19</v>
      </c>
      <c r="H298" s="40">
        <v>165.0</v>
      </c>
      <c r="I298" s="44" t="s">
        <v>64</v>
      </c>
      <c r="J298" s="25">
        <v>0.0</v>
      </c>
      <c r="K298" s="25">
        <f t="shared" si="22"/>
        <v>0</v>
      </c>
    </row>
    <row r="299" hidden="1">
      <c r="A299" s="37" t="s">
        <v>799</v>
      </c>
      <c r="B299" s="30" t="s">
        <v>819</v>
      </c>
      <c r="C299" s="19" t="s">
        <v>820</v>
      </c>
      <c r="D299" s="19" t="s">
        <v>821</v>
      </c>
      <c r="E299" s="39" t="s">
        <v>822</v>
      </c>
      <c r="F299" s="22" t="s">
        <v>18</v>
      </c>
      <c r="G299" s="19" t="s">
        <v>19</v>
      </c>
      <c r="H299" s="40">
        <v>175.0</v>
      </c>
      <c r="I299" s="44" t="s">
        <v>64</v>
      </c>
      <c r="J299" s="25">
        <v>0.0</v>
      </c>
      <c r="K299" s="25">
        <f t="shared" si="22"/>
        <v>0</v>
      </c>
    </row>
    <row r="300" hidden="1">
      <c r="A300" s="37" t="s">
        <v>799</v>
      </c>
      <c r="B300" s="17" t="s">
        <v>823</v>
      </c>
      <c r="C300" s="19" t="s">
        <v>424</v>
      </c>
      <c r="D300" s="19" t="s">
        <v>824</v>
      </c>
      <c r="E300" s="42" t="s">
        <v>825</v>
      </c>
      <c r="F300" s="22" t="s">
        <v>18</v>
      </c>
      <c r="G300" s="19" t="s">
        <v>19</v>
      </c>
      <c r="H300" s="40">
        <v>165.0</v>
      </c>
      <c r="I300" s="44" t="s">
        <v>64</v>
      </c>
      <c r="J300" s="25">
        <v>0.0</v>
      </c>
      <c r="K300" s="25">
        <f t="shared" si="22"/>
        <v>0</v>
      </c>
    </row>
    <row r="301" hidden="1">
      <c r="A301" s="37" t="s">
        <v>799</v>
      </c>
      <c r="B301" s="17" t="s">
        <v>826</v>
      </c>
      <c r="C301" s="19" t="s">
        <v>193</v>
      </c>
      <c r="D301" s="19" t="s">
        <v>90</v>
      </c>
      <c r="E301" s="39" t="s">
        <v>827</v>
      </c>
      <c r="F301" s="22" t="s">
        <v>18</v>
      </c>
      <c r="G301" s="19" t="s">
        <v>19</v>
      </c>
      <c r="H301" s="40">
        <v>299.0</v>
      </c>
      <c r="I301" s="44" t="s">
        <v>64</v>
      </c>
      <c r="J301" s="25">
        <v>0.0</v>
      </c>
      <c r="K301" s="25">
        <f t="shared" si="22"/>
        <v>0</v>
      </c>
    </row>
    <row r="302" hidden="1">
      <c r="A302" s="37" t="s">
        <v>799</v>
      </c>
      <c r="B302" s="17" t="s">
        <v>828</v>
      </c>
      <c r="C302" s="79" t="s">
        <v>193</v>
      </c>
      <c r="D302" s="79" t="s">
        <v>90</v>
      </c>
      <c r="E302" s="64" t="s">
        <v>829</v>
      </c>
      <c r="F302" s="46" t="s">
        <v>18</v>
      </c>
      <c r="G302" s="79" t="s">
        <v>19</v>
      </c>
      <c r="H302" s="47">
        <v>245.0</v>
      </c>
      <c r="I302" s="44" t="s">
        <v>64</v>
      </c>
      <c r="J302" s="25">
        <v>0.0</v>
      </c>
      <c r="K302" s="25">
        <f t="shared" si="22"/>
        <v>0</v>
      </c>
    </row>
    <row r="303" hidden="1">
      <c r="A303" s="37" t="s">
        <v>799</v>
      </c>
      <c r="B303" s="118" t="s">
        <v>141</v>
      </c>
      <c r="C303" s="105" t="s">
        <v>15</v>
      </c>
      <c r="D303" s="105" t="s">
        <v>251</v>
      </c>
      <c r="E303" s="106" t="s">
        <v>830</v>
      </c>
      <c r="F303" s="107" t="s">
        <v>184</v>
      </c>
      <c r="G303" s="105" t="s">
        <v>19</v>
      </c>
      <c r="H303" s="108">
        <v>149.0</v>
      </c>
      <c r="I303" s="109" t="s">
        <v>64</v>
      </c>
      <c r="J303" s="25">
        <v>0.0</v>
      </c>
      <c r="K303" s="25">
        <f t="shared" si="22"/>
        <v>0</v>
      </c>
    </row>
    <row r="304" hidden="1">
      <c r="A304" s="37" t="s">
        <v>799</v>
      </c>
      <c r="B304" s="28" t="s">
        <v>831</v>
      </c>
      <c r="C304" s="19" t="s">
        <v>832</v>
      </c>
      <c r="D304" s="19" t="s">
        <v>833</v>
      </c>
      <c r="E304" s="39" t="s">
        <v>834</v>
      </c>
      <c r="F304" s="22" t="s">
        <v>18</v>
      </c>
      <c r="G304" s="19" t="s">
        <v>19</v>
      </c>
      <c r="H304" s="40">
        <v>235.0</v>
      </c>
      <c r="I304" s="24" t="s">
        <v>20</v>
      </c>
      <c r="J304" s="25">
        <v>0.0</v>
      </c>
      <c r="K304" s="25">
        <f t="shared" si="22"/>
        <v>0</v>
      </c>
    </row>
    <row r="305" hidden="1">
      <c r="A305" s="37" t="s">
        <v>799</v>
      </c>
      <c r="B305" s="28" t="s">
        <v>835</v>
      </c>
      <c r="C305" s="19" t="s">
        <v>836</v>
      </c>
      <c r="D305" s="19" t="s">
        <v>837</v>
      </c>
      <c r="E305" s="39" t="s">
        <v>838</v>
      </c>
      <c r="F305" s="22" t="s">
        <v>18</v>
      </c>
      <c r="G305" s="19" t="s">
        <v>19</v>
      </c>
      <c r="H305" s="40">
        <v>299.0</v>
      </c>
      <c r="I305" s="44" t="s">
        <v>64</v>
      </c>
      <c r="J305" s="25">
        <v>0.0</v>
      </c>
      <c r="K305" s="25">
        <f t="shared" si="22"/>
        <v>0</v>
      </c>
    </row>
    <row r="306" hidden="1">
      <c r="A306" s="37" t="s">
        <v>799</v>
      </c>
      <c r="B306" s="28" t="s">
        <v>839</v>
      </c>
      <c r="C306" s="19" t="s">
        <v>22</v>
      </c>
      <c r="D306" s="19" t="s">
        <v>840</v>
      </c>
      <c r="E306" s="39" t="s">
        <v>841</v>
      </c>
      <c r="F306" s="22" t="s">
        <v>18</v>
      </c>
      <c r="G306" s="19" t="s">
        <v>19</v>
      </c>
      <c r="H306" s="40">
        <v>225.0</v>
      </c>
      <c r="I306" s="24" t="s">
        <v>20</v>
      </c>
      <c r="J306" s="25">
        <v>0.0</v>
      </c>
      <c r="K306" s="25">
        <f t="shared" si="22"/>
        <v>0</v>
      </c>
    </row>
    <row r="307" ht="22.5" hidden="1" customHeight="1">
      <c r="A307" s="53" t="s">
        <v>842</v>
      </c>
      <c r="B307" s="13"/>
      <c r="C307" s="13"/>
      <c r="D307" s="13"/>
      <c r="E307" s="13"/>
      <c r="F307" s="13"/>
      <c r="G307" s="13"/>
      <c r="H307" s="13"/>
      <c r="I307" s="14"/>
      <c r="J307" s="54"/>
      <c r="K307" s="54"/>
    </row>
    <row r="308" hidden="1">
      <c r="A308" s="71" t="s">
        <v>843</v>
      </c>
      <c r="B308" s="31" t="s">
        <v>844</v>
      </c>
      <c r="C308" s="19" t="s">
        <v>115</v>
      </c>
      <c r="D308" s="19" t="s">
        <v>845</v>
      </c>
      <c r="E308" s="39" t="s">
        <v>846</v>
      </c>
      <c r="F308" s="22" t="s">
        <v>184</v>
      </c>
      <c r="G308" s="19" t="s">
        <v>63</v>
      </c>
      <c r="H308" s="40">
        <v>249.0</v>
      </c>
      <c r="I308" s="76">
        <v>3.0</v>
      </c>
      <c r="J308" s="25">
        <v>0.0</v>
      </c>
      <c r="K308" s="25">
        <f t="shared" ref="K308:K333" si="23">PRODUCT(H308,J308)</f>
        <v>0</v>
      </c>
    </row>
    <row r="309" hidden="1">
      <c r="A309" s="71" t="s">
        <v>843</v>
      </c>
      <c r="B309" s="31" t="s">
        <v>847</v>
      </c>
      <c r="C309" s="19" t="s">
        <v>296</v>
      </c>
      <c r="D309" s="19" t="s">
        <v>848</v>
      </c>
      <c r="E309" s="39" t="s">
        <v>849</v>
      </c>
      <c r="F309" s="22" t="s">
        <v>184</v>
      </c>
      <c r="G309" s="19" t="s">
        <v>63</v>
      </c>
      <c r="H309" s="40">
        <v>275.0</v>
      </c>
      <c r="I309" s="29" t="s">
        <v>64</v>
      </c>
      <c r="J309" s="25">
        <v>0.0</v>
      </c>
      <c r="K309" s="25">
        <f t="shared" si="23"/>
        <v>0</v>
      </c>
    </row>
    <row r="310" hidden="1">
      <c r="A310" s="71" t="s">
        <v>843</v>
      </c>
      <c r="B310" s="31" t="s">
        <v>850</v>
      </c>
      <c r="C310" s="18" t="s">
        <v>851</v>
      </c>
      <c r="D310" s="19" t="s">
        <v>852</v>
      </c>
      <c r="E310" s="39" t="s">
        <v>853</v>
      </c>
      <c r="F310" s="22" t="s">
        <v>184</v>
      </c>
      <c r="G310" s="19" t="s">
        <v>106</v>
      </c>
      <c r="H310" s="40">
        <v>229.0</v>
      </c>
      <c r="I310" s="29" t="s">
        <v>64</v>
      </c>
      <c r="J310" s="25">
        <v>0.0</v>
      </c>
      <c r="K310" s="25">
        <f t="shared" si="23"/>
        <v>0</v>
      </c>
    </row>
    <row r="311" hidden="1">
      <c r="A311" s="71" t="s">
        <v>843</v>
      </c>
      <c r="B311" s="31" t="s">
        <v>854</v>
      </c>
      <c r="C311" s="19" t="s">
        <v>286</v>
      </c>
      <c r="D311" s="19" t="s">
        <v>855</v>
      </c>
      <c r="E311" s="39" t="s">
        <v>856</v>
      </c>
      <c r="F311" s="22" t="s">
        <v>184</v>
      </c>
      <c r="G311" s="19" t="s">
        <v>106</v>
      </c>
      <c r="H311" s="40">
        <v>255.0</v>
      </c>
      <c r="I311" s="29" t="s">
        <v>64</v>
      </c>
      <c r="J311" s="25">
        <v>0.0</v>
      </c>
      <c r="K311" s="25">
        <f t="shared" si="23"/>
        <v>0</v>
      </c>
    </row>
    <row r="312" hidden="1">
      <c r="A312" s="71" t="s">
        <v>843</v>
      </c>
      <c r="B312" s="31" t="s">
        <v>857</v>
      </c>
      <c r="C312" s="19" t="s">
        <v>296</v>
      </c>
      <c r="D312" s="19" t="s">
        <v>858</v>
      </c>
      <c r="E312" s="39" t="s">
        <v>859</v>
      </c>
      <c r="F312" s="22" t="s">
        <v>184</v>
      </c>
      <c r="G312" s="19" t="s">
        <v>63</v>
      </c>
      <c r="H312" s="40">
        <v>275.0</v>
      </c>
      <c r="I312" s="76">
        <v>3.0</v>
      </c>
      <c r="J312" s="25">
        <v>0.0</v>
      </c>
      <c r="K312" s="25">
        <f t="shared" si="23"/>
        <v>0</v>
      </c>
    </row>
    <row r="313" hidden="1">
      <c r="A313" s="71" t="s">
        <v>843</v>
      </c>
      <c r="B313" s="31" t="s">
        <v>860</v>
      </c>
      <c r="C313" s="19" t="s">
        <v>115</v>
      </c>
      <c r="D313" s="19" t="s">
        <v>861</v>
      </c>
      <c r="E313" s="39" t="s">
        <v>862</v>
      </c>
      <c r="F313" s="22" t="s">
        <v>184</v>
      </c>
      <c r="G313" s="19" t="s">
        <v>63</v>
      </c>
      <c r="H313" s="40">
        <v>249.0</v>
      </c>
      <c r="I313" s="29" t="s">
        <v>64</v>
      </c>
      <c r="J313" s="25">
        <v>0.0</v>
      </c>
      <c r="K313" s="25">
        <f t="shared" si="23"/>
        <v>0</v>
      </c>
    </row>
    <row r="314" hidden="1">
      <c r="A314" s="71" t="s">
        <v>843</v>
      </c>
      <c r="B314" s="17" t="s">
        <v>863</v>
      </c>
      <c r="C314" s="19" t="s">
        <v>115</v>
      </c>
      <c r="D314" s="19" t="s">
        <v>864</v>
      </c>
      <c r="E314" s="39" t="s">
        <v>865</v>
      </c>
      <c r="F314" s="22" t="s">
        <v>184</v>
      </c>
      <c r="G314" s="19" t="s">
        <v>106</v>
      </c>
      <c r="H314" s="40">
        <v>235.0</v>
      </c>
      <c r="I314" s="29" t="s">
        <v>64</v>
      </c>
      <c r="J314" s="25">
        <v>0.0</v>
      </c>
      <c r="K314" s="25">
        <f t="shared" si="23"/>
        <v>0</v>
      </c>
    </row>
    <row r="315" hidden="1">
      <c r="A315" s="71" t="s">
        <v>843</v>
      </c>
      <c r="B315" s="118" t="s">
        <v>866</v>
      </c>
      <c r="C315" s="119" t="s">
        <v>233</v>
      </c>
      <c r="D315" s="119" t="s">
        <v>867</v>
      </c>
      <c r="E315" s="120" t="s">
        <v>868</v>
      </c>
      <c r="F315" s="121" t="s">
        <v>184</v>
      </c>
      <c r="G315" s="119" t="s">
        <v>63</v>
      </c>
      <c r="H315" s="122">
        <v>225.0</v>
      </c>
      <c r="I315" s="123" t="s">
        <v>64</v>
      </c>
      <c r="J315" s="25">
        <v>0.0</v>
      </c>
      <c r="K315" s="25">
        <f t="shared" si="23"/>
        <v>0</v>
      </c>
    </row>
    <row r="316" hidden="1">
      <c r="A316" s="71" t="s">
        <v>843</v>
      </c>
      <c r="B316" s="31" t="s">
        <v>869</v>
      </c>
      <c r="C316" s="18" t="s">
        <v>870</v>
      </c>
      <c r="D316" s="19" t="s">
        <v>871</v>
      </c>
      <c r="E316" s="39" t="s">
        <v>872</v>
      </c>
      <c r="F316" s="22" t="s">
        <v>184</v>
      </c>
      <c r="G316" s="19" t="s">
        <v>106</v>
      </c>
      <c r="H316" s="40">
        <v>205.0</v>
      </c>
      <c r="I316" s="29" t="s">
        <v>64</v>
      </c>
      <c r="J316" s="25">
        <v>0.0</v>
      </c>
      <c r="K316" s="25">
        <f t="shared" si="23"/>
        <v>0</v>
      </c>
    </row>
    <row r="317" hidden="1">
      <c r="A317" s="71" t="s">
        <v>843</v>
      </c>
      <c r="B317" s="31" t="s">
        <v>873</v>
      </c>
      <c r="C317" s="19" t="s">
        <v>874</v>
      </c>
      <c r="D317" s="19" t="s">
        <v>875</v>
      </c>
      <c r="E317" s="39" t="s">
        <v>876</v>
      </c>
      <c r="F317" s="22" t="s">
        <v>184</v>
      </c>
      <c r="G317" s="19" t="s">
        <v>63</v>
      </c>
      <c r="H317" s="40">
        <v>245.0</v>
      </c>
      <c r="I317" s="29" t="s">
        <v>64</v>
      </c>
      <c r="J317" s="25">
        <v>0.0</v>
      </c>
      <c r="K317" s="25">
        <f t="shared" si="23"/>
        <v>0</v>
      </c>
    </row>
    <row r="318" hidden="1">
      <c r="A318" s="71" t="s">
        <v>843</v>
      </c>
      <c r="B318" s="31" t="s">
        <v>877</v>
      </c>
      <c r="C318" s="19" t="s">
        <v>296</v>
      </c>
      <c r="D318" s="19" t="s">
        <v>878</v>
      </c>
      <c r="E318" s="39" t="s">
        <v>879</v>
      </c>
      <c r="F318" s="22" t="s">
        <v>184</v>
      </c>
      <c r="G318" s="19" t="s">
        <v>63</v>
      </c>
      <c r="H318" s="40">
        <v>269.0</v>
      </c>
      <c r="I318" s="29" t="s">
        <v>64</v>
      </c>
      <c r="J318" s="25">
        <v>0.0</v>
      </c>
      <c r="K318" s="25">
        <f t="shared" si="23"/>
        <v>0</v>
      </c>
    </row>
    <row r="319" hidden="1">
      <c r="A319" s="71" t="s">
        <v>843</v>
      </c>
      <c r="B319" s="31" t="s">
        <v>880</v>
      </c>
      <c r="C319" s="19" t="s">
        <v>296</v>
      </c>
      <c r="D319" s="19" t="s">
        <v>881</v>
      </c>
      <c r="E319" s="39" t="s">
        <v>882</v>
      </c>
      <c r="F319" s="22" t="s">
        <v>184</v>
      </c>
      <c r="G319" s="19" t="s">
        <v>63</v>
      </c>
      <c r="H319" s="40">
        <v>255.0</v>
      </c>
      <c r="I319" s="29" t="s">
        <v>64</v>
      </c>
      <c r="J319" s="25">
        <v>0.0</v>
      </c>
      <c r="K319" s="25">
        <f t="shared" si="23"/>
        <v>0</v>
      </c>
    </row>
    <row r="320" hidden="1">
      <c r="A320" s="71" t="s">
        <v>843</v>
      </c>
      <c r="B320" s="31" t="s">
        <v>883</v>
      </c>
      <c r="C320" s="19" t="s">
        <v>22</v>
      </c>
      <c r="D320" s="19" t="s">
        <v>884</v>
      </c>
      <c r="E320" s="39" t="s">
        <v>885</v>
      </c>
      <c r="F320" s="22" t="s">
        <v>184</v>
      </c>
      <c r="G320" s="19" t="s">
        <v>106</v>
      </c>
      <c r="H320" s="40">
        <v>195.0</v>
      </c>
      <c r="I320" s="29" t="s">
        <v>64</v>
      </c>
      <c r="J320" s="25">
        <v>0.0</v>
      </c>
      <c r="K320" s="25">
        <f t="shared" si="23"/>
        <v>0</v>
      </c>
    </row>
    <row r="321" hidden="1">
      <c r="A321" s="71" t="s">
        <v>843</v>
      </c>
      <c r="B321" s="31" t="s">
        <v>886</v>
      </c>
      <c r="C321" s="19" t="s">
        <v>836</v>
      </c>
      <c r="D321" s="19" t="s">
        <v>887</v>
      </c>
      <c r="E321" s="39" t="s">
        <v>888</v>
      </c>
      <c r="F321" s="22" t="s">
        <v>184</v>
      </c>
      <c r="G321" s="19" t="s">
        <v>63</v>
      </c>
      <c r="H321" s="40">
        <v>299.0</v>
      </c>
      <c r="I321" s="29" t="s">
        <v>64</v>
      </c>
      <c r="J321" s="25">
        <v>0.0</v>
      </c>
      <c r="K321" s="25">
        <f t="shared" si="23"/>
        <v>0</v>
      </c>
    </row>
    <row r="322" hidden="1">
      <c r="A322" s="71" t="s">
        <v>843</v>
      </c>
      <c r="B322" s="31" t="s">
        <v>889</v>
      </c>
      <c r="C322" s="19" t="s">
        <v>296</v>
      </c>
      <c r="D322" s="19" t="s">
        <v>890</v>
      </c>
      <c r="E322" s="39" t="s">
        <v>891</v>
      </c>
      <c r="F322" s="22" t="s">
        <v>184</v>
      </c>
      <c r="G322" s="19" t="s">
        <v>63</v>
      </c>
      <c r="H322" s="40">
        <v>265.0</v>
      </c>
      <c r="I322" s="76">
        <v>3.0</v>
      </c>
      <c r="J322" s="25">
        <v>0.0</v>
      </c>
      <c r="K322" s="25">
        <f t="shared" si="23"/>
        <v>0</v>
      </c>
    </row>
    <row r="323" hidden="1">
      <c r="A323" s="71" t="s">
        <v>843</v>
      </c>
      <c r="B323" s="31" t="s">
        <v>892</v>
      </c>
      <c r="C323" s="19" t="s">
        <v>269</v>
      </c>
      <c r="D323" s="19" t="s">
        <v>878</v>
      </c>
      <c r="E323" s="39" t="s">
        <v>893</v>
      </c>
      <c r="F323" s="22" t="s">
        <v>184</v>
      </c>
      <c r="G323" s="19" t="s">
        <v>63</v>
      </c>
      <c r="H323" s="40">
        <v>219.0</v>
      </c>
      <c r="I323" s="29" t="s">
        <v>64</v>
      </c>
      <c r="J323" s="25">
        <v>0.0</v>
      </c>
      <c r="K323" s="25">
        <f t="shared" si="23"/>
        <v>0</v>
      </c>
    </row>
    <row r="324" hidden="1">
      <c r="A324" s="71" t="s">
        <v>843</v>
      </c>
      <c r="B324" s="31" t="s">
        <v>894</v>
      </c>
      <c r="C324" s="19" t="s">
        <v>111</v>
      </c>
      <c r="D324" s="19" t="s">
        <v>895</v>
      </c>
      <c r="E324" s="39" t="s">
        <v>896</v>
      </c>
      <c r="F324" s="22" t="s">
        <v>184</v>
      </c>
      <c r="G324" s="19" t="s">
        <v>63</v>
      </c>
      <c r="H324" s="40">
        <v>229.0</v>
      </c>
      <c r="I324" s="29" t="s">
        <v>64</v>
      </c>
      <c r="J324" s="25">
        <v>0.0</v>
      </c>
      <c r="K324" s="25">
        <f t="shared" si="23"/>
        <v>0</v>
      </c>
    </row>
    <row r="325" hidden="1">
      <c r="A325" s="71" t="s">
        <v>843</v>
      </c>
      <c r="B325" s="31" t="s">
        <v>897</v>
      </c>
      <c r="C325" s="19" t="s">
        <v>111</v>
      </c>
      <c r="D325" s="19" t="s">
        <v>898</v>
      </c>
      <c r="E325" s="39" t="s">
        <v>899</v>
      </c>
      <c r="F325" s="22" t="s">
        <v>184</v>
      </c>
      <c r="G325" s="19" t="s">
        <v>106</v>
      </c>
      <c r="H325" s="40">
        <v>205.0</v>
      </c>
      <c r="I325" s="29" t="s">
        <v>64</v>
      </c>
      <c r="J325" s="25">
        <v>0.0</v>
      </c>
      <c r="K325" s="25">
        <f t="shared" si="23"/>
        <v>0</v>
      </c>
    </row>
    <row r="326" hidden="1">
      <c r="A326" s="71" t="s">
        <v>843</v>
      </c>
      <c r="B326" s="31" t="s">
        <v>900</v>
      </c>
      <c r="C326" s="19" t="s">
        <v>728</v>
      </c>
      <c r="D326" s="19" t="s">
        <v>901</v>
      </c>
      <c r="E326" s="39" t="s">
        <v>902</v>
      </c>
      <c r="F326" s="22" t="s">
        <v>184</v>
      </c>
      <c r="G326" s="19" t="s">
        <v>106</v>
      </c>
      <c r="H326" s="40">
        <v>215.0</v>
      </c>
      <c r="I326" s="29" t="s">
        <v>64</v>
      </c>
      <c r="J326" s="25">
        <v>0.0</v>
      </c>
      <c r="K326" s="25">
        <f t="shared" si="23"/>
        <v>0</v>
      </c>
    </row>
    <row r="327" hidden="1">
      <c r="A327" s="71" t="s">
        <v>843</v>
      </c>
      <c r="B327" s="118" t="s">
        <v>903</v>
      </c>
      <c r="C327" s="119" t="s">
        <v>728</v>
      </c>
      <c r="D327" s="119" t="s">
        <v>904</v>
      </c>
      <c r="E327" s="120" t="s">
        <v>905</v>
      </c>
      <c r="F327" s="121" t="s">
        <v>184</v>
      </c>
      <c r="G327" s="119" t="s">
        <v>63</v>
      </c>
      <c r="H327" s="122">
        <v>219.0</v>
      </c>
      <c r="I327" s="124" t="s">
        <v>20</v>
      </c>
      <c r="J327" s="25">
        <v>0.0</v>
      </c>
      <c r="K327" s="25">
        <f t="shared" si="23"/>
        <v>0</v>
      </c>
    </row>
    <row r="328" hidden="1">
      <c r="A328" s="71" t="s">
        <v>843</v>
      </c>
      <c r="B328" s="31" t="s">
        <v>906</v>
      </c>
      <c r="C328" s="19" t="s">
        <v>216</v>
      </c>
      <c r="D328" s="19" t="s">
        <v>907</v>
      </c>
      <c r="E328" s="39" t="s">
        <v>908</v>
      </c>
      <c r="F328" s="22" t="s">
        <v>184</v>
      </c>
      <c r="G328" s="19" t="s">
        <v>63</v>
      </c>
      <c r="H328" s="40">
        <v>289.0</v>
      </c>
      <c r="I328" s="76">
        <v>4.0</v>
      </c>
      <c r="J328" s="25">
        <v>0.0</v>
      </c>
      <c r="K328" s="25">
        <f t="shared" si="23"/>
        <v>0</v>
      </c>
    </row>
    <row r="329" hidden="1">
      <c r="A329" s="71" t="s">
        <v>843</v>
      </c>
      <c r="B329" s="31" t="s">
        <v>909</v>
      </c>
      <c r="C329" s="19" t="s">
        <v>233</v>
      </c>
      <c r="D329" s="19" t="s">
        <v>910</v>
      </c>
      <c r="E329" s="39" t="s">
        <v>911</v>
      </c>
      <c r="F329" s="22" t="s">
        <v>184</v>
      </c>
      <c r="G329" s="19" t="s">
        <v>106</v>
      </c>
      <c r="H329" s="40">
        <v>205.0</v>
      </c>
      <c r="I329" s="29" t="s">
        <v>64</v>
      </c>
      <c r="J329" s="25">
        <v>0.0</v>
      </c>
      <c r="K329" s="25">
        <f t="shared" si="23"/>
        <v>0</v>
      </c>
    </row>
    <row r="330" hidden="1">
      <c r="A330" s="71" t="s">
        <v>843</v>
      </c>
      <c r="B330" s="118" t="s">
        <v>912</v>
      </c>
      <c r="C330" s="119" t="s">
        <v>233</v>
      </c>
      <c r="D330" s="119" t="s">
        <v>913</v>
      </c>
      <c r="E330" s="120" t="s">
        <v>914</v>
      </c>
      <c r="F330" s="121" t="s">
        <v>184</v>
      </c>
      <c r="G330" s="119" t="s">
        <v>63</v>
      </c>
      <c r="H330" s="122">
        <v>225.0</v>
      </c>
      <c r="I330" s="29" t="s">
        <v>64</v>
      </c>
      <c r="J330" s="25">
        <v>0.0</v>
      </c>
      <c r="K330" s="25">
        <f t="shared" si="23"/>
        <v>0</v>
      </c>
    </row>
    <row r="331" hidden="1">
      <c r="A331" s="125" t="s">
        <v>843</v>
      </c>
      <c r="B331" s="30" t="s">
        <v>915</v>
      </c>
      <c r="C331" s="18" t="s">
        <v>296</v>
      </c>
      <c r="D331" s="18" t="s">
        <v>916</v>
      </c>
      <c r="E331" s="39" t="s">
        <v>917</v>
      </c>
      <c r="F331" s="21" t="s">
        <v>184</v>
      </c>
      <c r="G331" s="18" t="s">
        <v>106</v>
      </c>
      <c r="H331" s="43">
        <v>215.0</v>
      </c>
      <c r="I331" s="126" t="s">
        <v>64</v>
      </c>
      <c r="J331" s="25">
        <v>0.0</v>
      </c>
      <c r="K331" s="25">
        <f t="shared" si="23"/>
        <v>0</v>
      </c>
    </row>
    <row r="332" hidden="1">
      <c r="A332" s="71" t="s">
        <v>843</v>
      </c>
      <c r="B332" s="118" t="s">
        <v>918</v>
      </c>
      <c r="C332" s="119" t="s">
        <v>296</v>
      </c>
      <c r="D332" s="119" t="s">
        <v>919</v>
      </c>
      <c r="E332" s="120" t="s">
        <v>920</v>
      </c>
      <c r="F332" s="121" t="s">
        <v>184</v>
      </c>
      <c r="G332" s="119" t="s">
        <v>63</v>
      </c>
      <c r="H332" s="122">
        <v>269.0</v>
      </c>
      <c r="I332" s="123" t="s">
        <v>64</v>
      </c>
      <c r="J332" s="25">
        <v>0.0</v>
      </c>
      <c r="K332" s="25">
        <f t="shared" si="23"/>
        <v>0</v>
      </c>
    </row>
    <row r="333" hidden="1">
      <c r="A333" s="71" t="s">
        <v>843</v>
      </c>
      <c r="B333" s="31" t="s">
        <v>921</v>
      </c>
      <c r="C333" s="19" t="s">
        <v>922</v>
      </c>
      <c r="D333" s="19" t="s">
        <v>923</v>
      </c>
      <c r="E333" s="39" t="s">
        <v>924</v>
      </c>
      <c r="F333" s="22" t="s">
        <v>184</v>
      </c>
      <c r="G333" s="19" t="s">
        <v>63</v>
      </c>
      <c r="H333" s="40">
        <v>235.0</v>
      </c>
      <c r="I333" s="29" t="s">
        <v>64</v>
      </c>
      <c r="J333" s="25">
        <v>12.0</v>
      </c>
      <c r="K333" s="25">
        <f t="shared" si="23"/>
        <v>2820</v>
      </c>
    </row>
    <row r="334" hidden="1">
      <c r="A334" s="53" t="s">
        <v>925</v>
      </c>
      <c r="B334" s="13"/>
      <c r="C334" s="13"/>
      <c r="D334" s="13"/>
      <c r="E334" s="13"/>
      <c r="F334" s="13"/>
      <c r="G334" s="13"/>
      <c r="H334" s="13"/>
      <c r="I334" s="14"/>
      <c r="J334" s="54"/>
      <c r="K334" s="54"/>
    </row>
    <row r="335" hidden="1">
      <c r="A335" s="37" t="s">
        <v>926</v>
      </c>
      <c r="B335" s="31" t="s">
        <v>927</v>
      </c>
      <c r="C335" s="19" t="s">
        <v>181</v>
      </c>
      <c r="D335" s="19" t="s">
        <v>928</v>
      </c>
      <c r="E335" s="39" t="s">
        <v>929</v>
      </c>
      <c r="F335" s="22" t="s">
        <v>18</v>
      </c>
      <c r="G335" s="19" t="s">
        <v>63</v>
      </c>
      <c r="H335" s="40">
        <v>279.0</v>
      </c>
      <c r="I335" s="33" t="s">
        <v>64</v>
      </c>
      <c r="J335" s="25">
        <v>0.0</v>
      </c>
      <c r="K335" s="25">
        <f t="shared" ref="K335:K339" si="24">PRODUCT(H335,J335)</f>
        <v>0</v>
      </c>
    </row>
    <row r="336" hidden="1">
      <c r="A336" s="37" t="s">
        <v>926</v>
      </c>
      <c r="B336" s="31" t="s">
        <v>930</v>
      </c>
      <c r="C336" s="19" t="s">
        <v>931</v>
      </c>
      <c r="D336" s="19" t="s">
        <v>932</v>
      </c>
      <c r="E336" s="39" t="s">
        <v>933</v>
      </c>
      <c r="F336" s="22" t="s">
        <v>18</v>
      </c>
      <c r="G336" s="19" t="s">
        <v>63</v>
      </c>
      <c r="H336" s="40">
        <v>219.0</v>
      </c>
      <c r="I336" s="33" t="s">
        <v>64</v>
      </c>
      <c r="J336" s="25">
        <v>0.0</v>
      </c>
      <c r="K336" s="25">
        <f t="shared" si="24"/>
        <v>0</v>
      </c>
    </row>
    <row r="337" hidden="1">
      <c r="A337" s="37" t="s">
        <v>926</v>
      </c>
      <c r="B337" s="31" t="s">
        <v>934</v>
      </c>
      <c r="C337" s="18" t="s">
        <v>935</v>
      </c>
      <c r="D337" s="19" t="s">
        <v>936</v>
      </c>
      <c r="E337" s="39" t="s">
        <v>937</v>
      </c>
      <c r="F337" s="22" t="s">
        <v>18</v>
      </c>
      <c r="G337" s="19" t="s">
        <v>63</v>
      </c>
      <c r="H337" s="40">
        <v>229.0</v>
      </c>
      <c r="I337" s="127" t="s">
        <v>20</v>
      </c>
      <c r="J337" s="25">
        <v>0.0</v>
      </c>
      <c r="K337" s="25">
        <f t="shared" si="24"/>
        <v>0</v>
      </c>
    </row>
    <row r="338" hidden="1">
      <c r="A338" s="37" t="s">
        <v>926</v>
      </c>
      <c r="B338" s="31" t="s">
        <v>938</v>
      </c>
      <c r="C338" s="19" t="s">
        <v>42</v>
      </c>
      <c r="D338" s="19" t="s">
        <v>939</v>
      </c>
      <c r="E338" s="39" t="s">
        <v>940</v>
      </c>
      <c r="F338" s="22" t="s">
        <v>18</v>
      </c>
      <c r="G338" s="19" t="s">
        <v>63</v>
      </c>
      <c r="H338" s="40">
        <v>255.0</v>
      </c>
      <c r="I338" s="33" t="s">
        <v>64</v>
      </c>
      <c r="J338" s="25">
        <v>0.0</v>
      </c>
      <c r="K338" s="25">
        <f t="shared" si="24"/>
        <v>0</v>
      </c>
    </row>
    <row r="339" hidden="1">
      <c r="A339" s="37" t="s">
        <v>926</v>
      </c>
      <c r="B339" s="31" t="s">
        <v>941</v>
      </c>
      <c r="C339" s="19" t="s">
        <v>942</v>
      </c>
      <c r="D339" s="19" t="s">
        <v>943</v>
      </c>
      <c r="E339" s="39" t="s">
        <v>944</v>
      </c>
      <c r="F339" s="22" t="s">
        <v>18</v>
      </c>
      <c r="G339" s="19" t="s">
        <v>63</v>
      </c>
      <c r="H339" s="40">
        <v>179.0</v>
      </c>
      <c r="I339" s="33" t="s">
        <v>64</v>
      </c>
      <c r="J339" s="25">
        <v>0.0</v>
      </c>
      <c r="K339" s="25">
        <f t="shared" si="24"/>
        <v>0</v>
      </c>
    </row>
    <row r="340" ht="22.5" hidden="1" customHeight="1">
      <c r="A340" s="53" t="s">
        <v>945</v>
      </c>
      <c r="B340" s="13"/>
      <c r="C340" s="13"/>
      <c r="D340" s="13"/>
      <c r="E340" s="13"/>
      <c r="F340" s="13"/>
      <c r="G340" s="13"/>
      <c r="H340" s="13"/>
      <c r="I340" s="14"/>
      <c r="J340" s="54"/>
      <c r="K340" s="54"/>
    </row>
    <row r="341" hidden="1">
      <c r="A341" s="37" t="s">
        <v>946</v>
      </c>
      <c r="B341" s="31" t="s">
        <v>947</v>
      </c>
      <c r="C341" s="19" t="s">
        <v>193</v>
      </c>
      <c r="D341" s="19" t="s">
        <v>948</v>
      </c>
      <c r="E341" s="39" t="s">
        <v>949</v>
      </c>
      <c r="F341" s="22" t="s">
        <v>184</v>
      </c>
      <c r="G341" s="19" t="s">
        <v>63</v>
      </c>
      <c r="H341" s="40">
        <v>299.0</v>
      </c>
      <c r="I341" s="33" t="s">
        <v>64</v>
      </c>
      <c r="J341" s="25">
        <v>0.0</v>
      </c>
      <c r="K341" s="25">
        <f t="shared" ref="K341:K364" si="25">PRODUCT(H341,J341)</f>
        <v>0</v>
      </c>
    </row>
    <row r="342" hidden="1">
      <c r="A342" s="37" t="s">
        <v>946</v>
      </c>
      <c r="B342" s="31" t="s">
        <v>950</v>
      </c>
      <c r="C342" s="19" t="s">
        <v>42</v>
      </c>
      <c r="D342" s="19" t="s">
        <v>951</v>
      </c>
      <c r="E342" s="39" t="s">
        <v>952</v>
      </c>
      <c r="F342" s="22" t="s">
        <v>184</v>
      </c>
      <c r="G342" s="19" t="s">
        <v>63</v>
      </c>
      <c r="H342" s="40">
        <v>249.0</v>
      </c>
      <c r="I342" s="33" t="s">
        <v>64</v>
      </c>
      <c r="J342" s="25">
        <v>0.0</v>
      </c>
      <c r="K342" s="25">
        <f t="shared" si="25"/>
        <v>0</v>
      </c>
    </row>
    <row r="343" hidden="1">
      <c r="A343" s="37" t="s">
        <v>946</v>
      </c>
      <c r="B343" s="31" t="s">
        <v>953</v>
      </c>
      <c r="C343" s="19" t="s">
        <v>46</v>
      </c>
      <c r="D343" s="19" t="s">
        <v>954</v>
      </c>
      <c r="E343" s="39" t="s">
        <v>955</v>
      </c>
      <c r="F343" s="22" t="s">
        <v>184</v>
      </c>
      <c r="G343" s="19" t="s">
        <v>63</v>
      </c>
      <c r="H343" s="52">
        <v>175.0</v>
      </c>
      <c r="I343" s="33" t="s">
        <v>64</v>
      </c>
      <c r="J343" s="25">
        <v>0.0</v>
      </c>
      <c r="K343" s="25">
        <f t="shared" si="25"/>
        <v>0</v>
      </c>
    </row>
    <row r="344" hidden="1">
      <c r="A344" s="37" t="s">
        <v>946</v>
      </c>
      <c r="B344" s="17" t="s">
        <v>956</v>
      </c>
      <c r="C344" s="79" t="s">
        <v>22</v>
      </c>
      <c r="D344" s="79" t="s">
        <v>957</v>
      </c>
      <c r="E344" s="64" t="s">
        <v>958</v>
      </c>
      <c r="F344" s="62" t="s">
        <v>184</v>
      </c>
      <c r="G344" s="79" t="s">
        <v>19</v>
      </c>
      <c r="H344" s="52">
        <v>199.0</v>
      </c>
      <c r="I344" s="51" t="s">
        <v>64</v>
      </c>
      <c r="J344" s="25">
        <v>0.0</v>
      </c>
      <c r="K344" s="25">
        <f t="shared" si="25"/>
        <v>0</v>
      </c>
    </row>
    <row r="345" hidden="1">
      <c r="A345" s="37" t="s">
        <v>946</v>
      </c>
      <c r="B345" s="31" t="s">
        <v>959</v>
      </c>
      <c r="C345" s="79" t="s">
        <v>193</v>
      </c>
      <c r="D345" s="79" t="s">
        <v>734</v>
      </c>
      <c r="E345" s="64" t="s">
        <v>960</v>
      </c>
      <c r="F345" s="62" t="s">
        <v>184</v>
      </c>
      <c r="G345" s="79" t="s">
        <v>63</v>
      </c>
      <c r="H345" s="47">
        <v>239.0</v>
      </c>
      <c r="I345" s="51" t="s">
        <v>64</v>
      </c>
      <c r="J345" s="25">
        <v>0.0</v>
      </c>
      <c r="K345" s="25">
        <f t="shared" si="25"/>
        <v>0</v>
      </c>
    </row>
    <row r="346" hidden="1">
      <c r="A346" s="37" t="s">
        <v>946</v>
      </c>
      <c r="B346" s="31" t="s">
        <v>961</v>
      </c>
      <c r="C346" s="19" t="s">
        <v>286</v>
      </c>
      <c r="D346" s="19" t="s">
        <v>962</v>
      </c>
      <c r="E346" s="39" t="s">
        <v>963</v>
      </c>
      <c r="F346" s="22" t="s">
        <v>184</v>
      </c>
      <c r="G346" s="19" t="s">
        <v>63</v>
      </c>
      <c r="H346" s="40">
        <v>305.0</v>
      </c>
      <c r="I346" s="51" t="s">
        <v>64</v>
      </c>
      <c r="J346" s="25">
        <v>0.0</v>
      </c>
      <c r="K346" s="25">
        <f t="shared" si="25"/>
        <v>0</v>
      </c>
    </row>
    <row r="347" hidden="1">
      <c r="A347" s="37" t="s">
        <v>946</v>
      </c>
      <c r="B347" s="31" t="s">
        <v>964</v>
      </c>
      <c r="C347" s="19" t="s">
        <v>965</v>
      </c>
      <c r="D347" s="19" t="s">
        <v>240</v>
      </c>
      <c r="E347" s="39" t="s">
        <v>966</v>
      </c>
      <c r="F347" s="22" t="s">
        <v>184</v>
      </c>
      <c r="G347" s="19" t="s">
        <v>63</v>
      </c>
      <c r="H347" s="40">
        <v>189.0</v>
      </c>
      <c r="I347" s="76">
        <v>1.0</v>
      </c>
      <c r="J347" s="25">
        <v>0.0</v>
      </c>
      <c r="K347" s="25">
        <f t="shared" si="25"/>
        <v>0</v>
      </c>
    </row>
    <row r="348" hidden="1">
      <c r="A348" s="37"/>
      <c r="B348" s="31" t="s">
        <v>967</v>
      </c>
      <c r="C348" s="19" t="s">
        <v>42</v>
      </c>
      <c r="D348" s="19" t="s">
        <v>968</v>
      </c>
      <c r="E348" s="39" t="s">
        <v>969</v>
      </c>
      <c r="F348" s="22" t="s">
        <v>184</v>
      </c>
      <c r="G348" s="19" t="s">
        <v>63</v>
      </c>
      <c r="H348" s="49">
        <v>249.0</v>
      </c>
      <c r="I348" s="33" t="s">
        <v>64</v>
      </c>
      <c r="J348" s="25">
        <v>0.0</v>
      </c>
      <c r="K348" s="25">
        <f t="shared" si="25"/>
        <v>0</v>
      </c>
    </row>
    <row r="349" hidden="1">
      <c r="A349" s="37" t="s">
        <v>946</v>
      </c>
      <c r="B349" s="31" t="s">
        <v>970</v>
      </c>
      <c r="C349" s="19" t="s">
        <v>220</v>
      </c>
      <c r="D349" s="19" t="s">
        <v>971</v>
      </c>
      <c r="E349" s="39" t="s">
        <v>972</v>
      </c>
      <c r="F349" s="22" t="s">
        <v>184</v>
      </c>
      <c r="G349" s="19" t="s">
        <v>63</v>
      </c>
      <c r="H349" s="40">
        <v>239.0</v>
      </c>
      <c r="I349" s="51" t="s">
        <v>64</v>
      </c>
      <c r="J349" s="25">
        <v>0.0</v>
      </c>
      <c r="K349" s="25">
        <f t="shared" si="25"/>
        <v>0</v>
      </c>
    </row>
    <row r="350" hidden="1">
      <c r="A350" s="37" t="s">
        <v>946</v>
      </c>
      <c r="B350" s="31" t="s">
        <v>973</v>
      </c>
      <c r="C350" s="79" t="s">
        <v>931</v>
      </c>
      <c r="D350" s="79" t="s">
        <v>974</v>
      </c>
      <c r="E350" s="64" t="s">
        <v>975</v>
      </c>
      <c r="F350" s="62" t="s">
        <v>184</v>
      </c>
      <c r="G350" s="79" t="s">
        <v>63</v>
      </c>
      <c r="H350" s="47">
        <v>175.0</v>
      </c>
      <c r="I350" s="51" t="s">
        <v>64</v>
      </c>
      <c r="J350" s="25">
        <v>0.0</v>
      </c>
      <c r="K350" s="25">
        <f t="shared" si="25"/>
        <v>0</v>
      </c>
    </row>
    <row r="351" hidden="1">
      <c r="A351" s="37" t="s">
        <v>946</v>
      </c>
      <c r="B351" s="31" t="s">
        <v>976</v>
      </c>
      <c r="C351" s="19" t="s">
        <v>977</v>
      </c>
      <c r="D351" s="19" t="s">
        <v>978</v>
      </c>
      <c r="E351" s="39" t="s">
        <v>979</v>
      </c>
      <c r="F351" s="22" t="s">
        <v>184</v>
      </c>
      <c r="G351" s="19" t="s">
        <v>63</v>
      </c>
      <c r="H351" s="40">
        <v>319.0</v>
      </c>
      <c r="I351" s="127" t="s">
        <v>20</v>
      </c>
      <c r="J351" s="25">
        <v>0.0</v>
      </c>
      <c r="K351" s="25">
        <f t="shared" si="25"/>
        <v>0</v>
      </c>
    </row>
    <row r="352" hidden="1">
      <c r="A352" s="37" t="s">
        <v>946</v>
      </c>
      <c r="B352" s="31" t="s">
        <v>980</v>
      </c>
      <c r="C352" s="19" t="s">
        <v>111</v>
      </c>
      <c r="D352" s="19" t="s">
        <v>951</v>
      </c>
      <c r="E352" s="39" t="s">
        <v>981</v>
      </c>
      <c r="F352" s="22" t="s">
        <v>184</v>
      </c>
      <c r="G352" s="19" t="s">
        <v>63</v>
      </c>
      <c r="H352" s="40">
        <v>259.0</v>
      </c>
      <c r="I352" s="127" t="s">
        <v>20</v>
      </c>
      <c r="J352" s="25">
        <v>0.0</v>
      </c>
      <c r="K352" s="25">
        <f t="shared" si="25"/>
        <v>0</v>
      </c>
    </row>
    <row r="353" hidden="1">
      <c r="A353" s="37" t="s">
        <v>946</v>
      </c>
      <c r="B353" s="31" t="s">
        <v>982</v>
      </c>
      <c r="C353" s="19" t="s">
        <v>820</v>
      </c>
      <c r="D353" s="19" t="s">
        <v>983</v>
      </c>
      <c r="E353" s="39" t="s">
        <v>984</v>
      </c>
      <c r="F353" s="22" t="s">
        <v>184</v>
      </c>
      <c r="G353" s="19" t="s">
        <v>63</v>
      </c>
      <c r="H353" s="40">
        <v>189.0</v>
      </c>
      <c r="I353" s="51" t="s">
        <v>64</v>
      </c>
      <c r="J353" s="25">
        <v>0.0</v>
      </c>
      <c r="K353" s="25">
        <f t="shared" si="25"/>
        <v>0</v>
      </c>
    </row>
    <row r="354" hidden="1">
      <c r="A354" s="37" t="s">
        <v>946</v>
      </c>
      <c r="B354" s="31" t="s">
        <v>985</v>
      </c>
      <c r="C354" s="79" t="s">
        <v>286</v>
      </c>
      <c r="D354" s="79" t="s">
        <v>986</v>
      </c>
      <c r="E354" s="64" t="s">
        <v>987</v>
      </c>
      <c r="F354" s="62" t="s">
        <v>184</v>
      </c>
      <c r="G354" s="79" t="s">
        <v>63</v>
      </c>
      <c r="H354" s="47">
        <v>289.0</v>
      </c>
      <c r="I354" s="51" t="s">
        <v>64</v>
      </c>
      <c r="J354" s="25">
        <v>0.0</v>
      </c>
      <c r="K354" s="25">
        <f t="shared" si="25"/>
        <v>0</v>
      </c>
    </row>
    <row r="355" hidden="1">
      <c r="A355" s="37" t="s">
        <v>946</v>
      </c>
      <c r="B355" s="31" t="s">
        <v>988</v>
      </c>
      <c r="C355" s="19" t="s">
        <v>115</v>
      </c>
      <c r="D355" s="19" t="s">
        <v>971</v>
      </c>
      <c r="E355" s="39" t="s">
        <v>989</v>
      </c>
      <c r="F355" s="62" t="s">
        <v>184</v>
      </c>
      <c r="G355" s="79" t="s">
        <v>63</v>
      </c>
      <c r="H355" s="49">
        <v>275.0</v>
      </c>
      <c r="I355" s="51" t="s">
        <v>64</v>
      </c>
      <c r="J355" s="25">
        <v>0.0</v>
      </c>
      <c r="K355" s="25">
        <f t="shared" si="25"/>
        <v>0</v>
      </c>
    </row>
    <row r="356" hidden="1">
      <c r="A356" s="37" t="s">
        <v>946</v>
      </c>
      <c r="B356" s="31" t="s">
        <v>990</v>
      </c>
      <c r="C356" s="19" t="s">
        <v>991</v>
      </c>
      <c r="D356" s="19" t="s">
        <v>992</v>
      </c>
      <c r="E356" s="39" t="s">
        <v>993</v>
      </c>
      <c r="F356" s="22" t="s">
        <v>184</v>
      </c>
      <c r="G356" s="19" t="s">
        <v>63</v>
      </c>
      <c r="H356" s="40">
        <v>199.0</v>
      </c>
      <c r="I356" s="127" t="s">
        <v>20</v>
      </c>
      <c r="J356" s="25">
        <v>0.0</v>
      </c>
      <c r="K356" s="25">
        <f t="shared" si="25"/>
        <v>0</v>
      </c>
    </row>
    <row r="357" hidden="1">
      <c r="A357" s="37" t="s">
        <v>946</v>
      </c>
      <c r="B357" s="31" t="s">
        <v>994</v>
      </c>
      <c r="C357" s="79" t="s">
        <v>115</v>
      </c>
      <c r="D357" s="79" t="s">
        <v>995</v>
      </c>
      <c r="E357" s="64" t="s">
        <v>996</v>
      </c>
      <c r="F357" s="62" t="s">
        <v>184</v>
      </c>
      <c r="G357" s="79" t="s">
        <v>63</v>
      </c>
      <c r="H357" s="47">
        <v>269.0</v>
      </c>
      <c r="I357" s="51" t="s">
        <v>64</v>
      </c>
      <c r="J357" s="25">
        <v>0.0</v>
      </c>
      <c r="K357" s="25">
        <f t="shared" si="25"/>
        <v>0</v>
      </c>
    </row>
    <row r="358" hidden="1">
      <c r="A358" s="37" t="s">
        <v>946</v>
      </c>
      <c r="B358" s="31" t="s">
        <v>997</v>
      </c>
      <c r="C358" s="19" t="s">
        <v>206</v>
      </c>
      <c r="D358" s="19" t="s">
        <v>998</v>
      </c>
      <c r="E358" s="39" t="s">
        <v>999</v>
      </c>
      <c r="F358" s="22" t="s">
        <v>184</v>
      </c>
      <c r="G358" s="19" t="s">
        <v>63</v>
      </c>
      <c r="H358" s="40">
        <v>249.0</v>
      </c>
      <c r="I358" s="48">
        <v>1.0</v>
      </c>
      <c r="J358" s="25">
        <v>0.0</v>
      </c>
      <c r="K358" s="25">
        <f t="shared" si="25"/>
        <v>0</v>
      </c>
    </row>
    <row r="359" hidden="1">
      <c r="A359" s="37" t="s">
        <v>946</v>
      </c>
      <c r="B359" s="31" t="s">
        <v>1000</v>
      </c>
      <c r="C359" s="19" t="s">
        <v>193</v>
      </c>
      <c r="D359" s="19" t="s">
        <v>90</v>
      </c>
      <c r="E359" s="39" t="s">
        <v>1001</v>
      </c>
      <c r="F359" s="22" t="s">
        <v>184</v>
      </c>
      <c r="G359" s="19" t="s">
        <v>63</v>
      </c>
      <c r="H359" s="40">
        <v>265.0</v>
      </c>
      <c r="I359" s="51" t="s">
        <v>64</v>
      </c>
      <c r="J359" s="25">
        <v>0.0</v>
      </c>
      <c r="K359" s="25">
        <f t="shared" si="25"/>
        <v>0</v>
      </c>
    </row>
    <row r="360" hidden="1">
      <c r="A360" s="37" t="s">
        <v>946</v>
      </c>
      <c r="B360" s="17" t="s">
        <v>1002</v>
      </c>
      <c r="C360" s="79" t="s">
        <v>54</v>
      </c>
      <c r="D360" s="79" t="s">
        <v>1003</v>
      </c>
      <c r="E360" s="64" t="s">
        <v>1004</v>
      </c>
      <c r="F360" s="62" t="s">
        <v>184</v>
      </c>
      <c r="G360" s="79" t="s">
        <v>19</v>
      </c>
      <c r="H360" s="52">
        <v>185.0</v>
      </c>
      <c r="I360" s="33" t="s">
        <v>64</v>
      </c>
      <c r="J360" s="25">
        <v>0.0</v>
      </c>
      <c r="K360" s="25">
        <f t="shared" si="25"/>
        <v>0</v>
      </c>
    </row>
    <row r="361" hidden="1">
      <c r="A361" s="37" t="s">
        <v>946</v>
      </c>
      <c r="B361" s="17" t="s">
        <v>1005</v>
      </c>
      <c r="C361" s="19" t="s">
        <v>1006</v>
      </c>
      <c r="D361" s="19" t="s">
        <v>151</v>
      </c>
      <c r="E361" s="39" t="s">
        <v>1007</v>
      </c>
      <c r="F361" s="22" t="s">
        <v>184</v>
      </c>
      <c r="G361" s="19" t="s">
        <v>63</v>
      </c>
      <c r="H361" s="49">
        <v>185.0</v>
      </c>
      <c r="I361" s="33" t="s">
        <v>64</v>
      </c>
      <c r="J361" s="25">
        <v>0.0</v>
      </c>
      <c r="K361" s="25">
        <f t="shared" si="25"/>
        <v>0</v>
      </c>
    </row>
    <row r="362" hidden="1">
      <c r="A362" s="37" t="s">
        <v>946</v>
      </c>
      <c r="B362" s="31" t="s">
        <v>1008</v>
      </c>
      <c r="C362" s="19" t="s">
        <v>1009</v>
      </c>
      <c r="D362" s="19" t="s">
        <v>325</v>
      </c>
      <c r="E362" s="39" t="s">
        <v>1010</v>
      </c>
      <c r="F362" s="22" t="s">
        <v>184</v>
      </c>
      <c r="G362" s="19" t="s">
        <v>63</v>
      </c>
      <c r="H362" s="40">
        <v>189.0</v>
      </c>
      <c r="I362" s="33" t="s">
        <v>64</v>
      </c>
      <c r="J362" s="25">
        <v>0.0</v>
      </c>
      <c r="K362" s="25">
        <f t="shared" si="25"/>
        <v>0</v>
      </c>
    </row>
    <row r="363" hidden="1">
      <c r="A363" s="37" t="s">
        <v>946</v>
      </c>
      <c r="B363" s="31" t="s">
        <v>1011</v>
      </c>
      <c r="C363" s="19" t="s">
        <v>15</v>
      </c>
      <c r="D363" s="19" t="s">
        <v>1012</v>
      </c>
      <c r="E363" s="39" t="s">
        <v>1013</v>
      </c>
      <c r="F363" s="22" t="s">
        <v>184</v>
      </c>
      <c r="G363" s="19" t="s">
        <v>63</v>
      </c>
      <c r="H363" s="49">
        <v>185.0</v>
      </c>
      <c r="I363" s="33" t="s">
        <v>64</v>
      </c>
      <c r="J363" s="25">
        <v>0.0</v>
      </c>
      <c r="K363" s="25">
        <f t="shared" si="25"/>
        <v>0</v>
      </c>
    </row>
    <row r="364" hidden="1">
      <c r="A364" s="37" t="s">
        <v>946</v>
      </c>
      <c r="B364" s="31" t="s">
        <v>1014</v>
      </c>
      <c r="C364" s="19" t="s">
        <v>711</v>
      </c>
      <c r="D364" s="19" t="s">
        <v>1012</v>
      </c>
      <c r="E364" s="39" t="s">
        <v>1015</v>
      </c>
      <c r="F364" s="22" t="s">
        <v>184</v>
      </c>
      <c r="G364" s="19" t="s">
        <v>63</v>
      </c>
      <c r="H364" s="49">
        <v>185.0</v>
      </c>
      <c r="I364" s="33" t="s">
        <v>64</v>
      </c>
      <c r="J364" s="25">
        <v>0.0</v>
      </c>
      <c r="K364" s="25">
        <f t="shared" si="25"/>
        <v>0</v>
      </c>
    </row>
    <row r="365" ht="20.25" hidden="1" customHeight="1">
      <c r="A365" s="53" t="s">
        <v>1016</v>
      </c>
      <c r="B365" s="13"/>
      <c r="C365" s="13"/>
      <c r="D365" s="13"/>
      <c r="E365" s="13"/>
      <c r="F365" s="13"/>
      <c r="G365" s="13"/>
      <c r="H365" s="13"/>
      <c r="I365" s="14"/>
      <c r="J365" s="54"/>
      <c r="K365" s="54"/>
    </row>
    <row r="366" hidden="1">
      <c r="A366" s="87" t="s">
        <v>1017</v>
      </c>
      <c r="B366" s="128" t="s">
        <v>1018</v>
      </c>
      <c r="C366" s="38" t="s">
        <v>60</v>
      </c>
      <c r="D366" s="38" t="s">
        <v>119</v>
      </c>
      <c r="E366" s="129" t="s">
        <v>1019</v>
      </c>
      <c r="F366" s="22" t="s">
        <v>18</v>
      </c>
      <c r="G366" s="38" t="s">
        <v>63</v>
      </c>
      <c r="H366" s="130">
        <v>275.0</v>
      </c>
      <c r="I366" s="33" t="s">
        <v>64</v>
      </c>
      <c r="J366" s="25">
        <v>0.0</v>
      </c>
      <c r="K366" s="25">
        <f t="shared" ref="K366:K394" si="26">PRODUCT(H366,J366)</f>
        <v>0</v>
      </c>
    </row>
    <row r="367" ht="22.5" hidden="1" customHeight="1">
      <c r="A367" s="87" t="s">
        <v>1017</v>
      </c>
      <c r="B367" s="128" t="s">
        <v>72</v>
      </c>
      <c r="C367" s="38" t="s">
        <v>60</v>
      </c>
      <c r="D367" s="38" t="s">
        <v>119</v>
      </c>
      <c r="E367" s="129" t="s">
        <v>1020</v>
      </c>
      <c r="F367" s="22" t="s">
        <v>18</v>
      </c>
      <c r="G367" s="38" t="s">
        <v>63</v>
      </c>
      <c r="H367" s="131">
        <v>235.0</v>
      </c>
      <c r="I367" s="33" t="s">
        <v>64</v>
      </c>
      <c r="J367" s="25">
        <v>0.0</v>
      </c>
      <c r="K367" s="25">
        <f t="shared" si="26"/>
        <v>0</v>
      </c>
    </row>
    <row r="368" hidden="1">
      <c r="A368" s="87" t="s">
        <v>1017</v>
      </c>
      <c r="B368" s="128" t="s">
        <v>1021</v>
      </c>
      <c r="C368" s="38" t="s">
        <v>60</v>
      </c>
      <c r="D368" s="38" t="s">
        <v>119</v>
      </c>
      <c r="E368" s="129" t="s">
        <v>1022</v>
      </c>
      <c r="F368" s="22" t="s">
        <v>18</v>
      </c>
      <c r="G368" s="38" t="s">
        <v>63</v>
      </c>
      <c r="H368" s="130">
        <v>229.0</v>
      </c>
      <c r="I368" s="33" t="s">
        <v>64</v>
      </c>
      <c r="J368" s="25">
        <v>0.0</v>
      </c>
      <c r="K368" s="25">
        <f t="shared" si="26"/>
        <v>0</v>
      </c>
    </row>
    <row r="369" hidden="1">
      <c r="A369" s="87" t="s">
        <v>1017</v>
      </c>
      <c r="B369" s="128" t="s">
        <v>1023</v>
      </c>
      <c r="C369" s="38" t="s">
        <v>60</v>
      </c>
      <c r="D369" s="38" t="s">
        <v>119</v>
      </c>
      <c r="E369" s="129" t="s">
        <v>1024</v>
      </c>
      <c r="F369" s="22" t="s">
        <v>18</v>
      </c>
      <c r="G369" s="38" t="s">
        <v>63</v>
      </c>
      <c r="H369" s="131">
        <v>239.0</v>
      </c>
      <c r="I369" s="33" t="s">
        <v>64</v>
      </c>
      <c r="J369" s="25">
        <v>0.0</v>
      </c>
      <c r="K369" s="25">
        <f t="shared" si="26"/>
        <v>0</v>
      </c>
    </row>
    <row r="370" ht="22.5" hidden="1" customHeight="1">
      <c r="A370" s="87" t="s">
        <v>1017</v>
      </c>
      <c r="B370" s="128" t="s">
        <v>1025</v>
      </c>
      <c r="C370" s="38" t="s">
        <v>60</v>
      </c>
      <c r="D370" s="38" t="s">
        <v>119</v>
      </c>
      <c r="E370" s="129" t="s">
        <v>1026</v>
      </c>
      <c r="F370" s="22" t="s">
        <v>18</v>
      </c>
      <c r="G370" s="38" t="s">
        <v>63</v>
      </c>
      <c r="H370" s="130">
        <v>259.0</v>
      </c>
      <c r="I370" s="33" t="s">
        <v>64</v>
      </c>
      <c r="J370" s="25">
        <v>0.0</v>
      </c>
      <c r="K370" s="25">
        <f t="shared" si="26"/>
        <v>0</v>
      </c>
    </row>
    <row r="371" hidden="1">
      <c r="A371" s="87" t="s">
        <v>1017</v>
      </c>
      <c r="B371" s="128" t="s">
        <v>1027</v>
      </c>
      <c r="C371" s="38" t="s">
        <v>60</v>
      </c>
      <c r="D371" s="38" t="s">
        <v>119</v>
      </c>
      <c r="E371" s="129" t="s">
        <v>1028</v>
      </c>
      <c r="F371" s="22" t="s">
        <v>18</v>
      </c>
      <c r="G371" s="38" t="s">
        <v>63</v>
      </c>
      <c r="H371" s="130">
        <v>255.0</v>
      </c>
      <c r="I371" s="33" t="s">
        <v>64</v>
      </c>
      <c r="J371" s="25">
        <v>0.0</v>
      </c>
      <c r="K371" s="25">
        <f t="shared" si="26"/>
        <v>0</v>
      </c>
    </row>
    <row r="372" hidden="1">
      <c r="A372" s="87" t="s">
        <v>1017</v>
      </c>
      <c r="B372" s="128" t="s">
        <v>1029</v>
      </c>
      <c r="C372" s="38" t="s">
        <v>75</v>
      </c>
      <c r="D372" s="38" t="s">
        <v>119</v>
      </c>
      <c r="E372" s="129" t="s">
        <v>1030</v>
      </c>
      <c r="F372" s="22" t="s">
        <v>603</v>
      </c>
      <c r="G372" s="38" t="s">
        <v>63</v>
      </c>
      <c r="H372" s="130">
        <v>249.0</v>
      </c>
      <c r="I372" s="33" t="s">
        <v>64</v>
      </c>
      <c r="J372" s="25">
        <v>0.0</v>
      </c>
      <c r="K372" s="25">
        <f t="shared" si="26"/>
        <v>0</v>
      </c>
    </row>
    <row r="373" hidden="1">
      <c r="A373" s="87" t="s">
        <v>1017</v>
      </c>
      <c r="B373" s="128" t="s">
        <v>1031</v>
      </c>
      <c r="C373" s="38" t="s">
        <v>60</v>
      </c>
      <c r="D373" s="38" t="s">
        <v>119</v>
      </c>
      <c r="E373" s="129" t="s">
        <v>1032</v>
      </c>
      <c r="F373" s="22" t="s">
        <v>18</v>
      </c>
      <c r="G373" s="38" t="s">
        <v>63</v>
      </c>
      <c r="H373" s="130">
        <v>235.0</v>
      </c>
      <c r="I373" s="33" t="s">
        <v>64</v>
      </c>
      <c r="J373" s="25">
        <v>0.0</v>
      </c>
      <c r="K373" s="25">
        <f t="shared" si="26"/>
        <v>0</v>
      </c>
    </row>
    <row r="374" hidden="1">
      <c r="A374" s="87" t="s">
        <v>1017</v>
      </c>
      <c r="B374" s="128" t="s">
        <v>1033</v>
      </c>
      <c r="C374" s="38" t="s">
        <v>60</v>
      </c>
      <c r="D374" s="38" t="s">
        <v>119</v>
      </c>
      <c r="E374" s="129" t="s">
        <v>1034</v>
      </c>
      <c r="F374" s="22" t="s">
        <v>18</v>
      </c>
      <c r="G374" s="38" t="s">
        <v>63</v>
      </c>
      <c r="H374" s="130">
        <v>269.0</v>
      </c>
      <c r="I374" s="33" t="s">
        <v>64</v>
      </c>
      <c r="J374" s="25">
        <v>0.0</v>
      </c>
      <c r="K374" s="25">
        <f t="shared" si="26"/>
        <v>0</v>
      </c>
    </row>
    <row r="375" hidden="1">
      <c r="A375" s="87" t="s">
        <v>1017</v>
      </c>
      <c r="B375" s="128" t="s">
        <v>1035</v>
      </c>
      <c r="C375" s="38" t="s">
        <v>60</v>
      </c>
      <c r="D375" s="38" t="s">
        <v>119</v>
      </c>
      <c r="E375" s="129" t="s">
        <v>1036</v>
      </c>
      <c r="F375" s="22" t="s">
        <v>18</v>
      </c>
      <c r="G375" s="38" t="s">
        <v>63</v>
      </c>
      <c r="H375" s="130">
        <v>259.0</v>
      </c>
      <c r="I375" s="33" t="s">
        <v>64</v>
      </c>
      <c r="J375" s="25">
        <v>0.0</v>
      </c>
      <c r="K375" s="25">
        <f t="shared" si="26"/>
        <v>0</v>
      </c>
    </row>
    <row r="376" hidden="1">
      <c r="A376" s="87" t="s">
        <v>1017</v>
      </c>
      <c r="B376" s="128" t="s">
        <v>1037</v>
      </c>
      <c r="C376" s="38" t="s">
        <v>60</v>
      </c>
      <c r="D376" s="38" t="s">
        <v>1038</v>
      </c>
      <c r="E376" s="129" t="s">
        <v>1039</v>
      </c>
      <c r="F376" s="22" t="s">
        <v>18</v>
      </c>
      <c r="G376" s="38" t="s">
        <v>63</v>
      </c>
      <c r="H376" s="130">
        <v>219.0</v>
      </c>
      <c r="I376" s="33" t="s">
        <v>64</v>
      </c>
      <c r="J376" s="25">
        <v>0.0</v>
      </c>
      <c r="K376" s="25">
        <f t="shared" si="26"/>
        <v>0</v>
      </c>
    </row>
    <row r="377" hidden="1">
      <c r="A377" s="87" t="s">
        <v>1017</v>
      </c>
      <c r="B377" s="128" t="s">
        <v>1040</v>
      </c>
      <c r="C377" s="38" t="s">
        <v>60</v>
      </c>
      <c r="D377" s="38" t="s">
        <v>119</v>
      </c>
      <c r="E377" s="129" t="s">
        <v>1041</v>
      </c>
      <c r="F377" s="22" t="s">
        <v>18</v>
      </c>
      <c r="G377" s="38" t="s">
        <v>63</v>
      </c>
      <c r="H377" s="130">
        <v>255.0</v>
      </c>
      <c r="I377" s="33" t="s">
        <v>64</v>
      </c>
      <c r="J377" s="25">
        <v>0.0</v>
      </c>
      <c r="K377" s="25">
        <f t="shared" si="26"/>
        <v>0</v>
      </c>
    </row>
    <row r="378" hidden="1">
      <c r="A378" s="87" t="s">
        <v>1017</v>
      </c>
      <c r="B378" s="128" t="s">
        <v>1042</v>
      </c>
      <c r="C378" s="38" t="s">
        <v>60</v>
      </c>
      <c r="D378" s="38" t="s">
        <v>251</v>
      </c>
      <c r="E378" s="129" t="s">
        <v>1043</v>
      </c>
      <c r="F378" s="22" t="s">
        <v>18</v>
      </c>
      <c r="G378" s="38" t="s">
        <v>63</v>
      </c>
      <c r="H378" s="130">
        <v>135.0</v>
      </c>
      <c r="I378" s="33" t="s">
        <v>64</v>
      </c>
      <c r="J378" s="25">
        <v>0.0</v>
      </c>
      <c r="K378" s="25">
        <f t="shared" si="26"/>
        <v>0</v>
      </c>
    </row>
    <row r="379" hidden="1">
      <c r="A379" s="87" t="s">
        <v>1017</v>
      </c>
      <c r="B379" s="132" t="s">
        <v>1044</v>
      </c>
      <c r="C379" s="38" t="s">
        <v>60</v>
      </c>
      <c r="D379" s="38" t="s">
        <v>119</v>
      </c>
      <c r="E379" s="129" t="s">
        <v>1045</v>
      </c>
      <c r="F379" s="22" t="s">
        <v>18</v>
      </c>
      <c r="G379" s="38" t="s">
        <v>63</v>
      </c>
      <c r="H379" s="130">
        <v>275.0</v>
      </c>
      <c r="I379" s="33" t="s">
        <v>64</v>
      </c>
      <c r="J379" s="25">
        <v>0.0</v>
      </c>
      <c r="K379" s="25">
        <f t="shared" si="26"/>
        <v>0</v>
      </c>
    </row>
    <row r="380" hidden="1">
      <c r="A380" s="87" t="s">
        <v>1017</v>
      </c>
      <c r="B380" s="128" t="s">
        <v>1046</v>
      </c>
      <c r="C380" s="38" t="s">
        <v>60</v>
      </c>
      <c r="D380" s="38" t="s">
        <v>119</v>
      </c>
      <c r="E380" s="129" t="s">
        <v>1047</v>
      </c>
      <c r="F380" s="22" t="s">
        <v>18</v>
      </c>
      <c r="G380" s="38" t="s">
        <v>63</v>
      </c>
      <c r="H380" s="130">
        <v>259.0</v>
      </c>
      <c r="I380" s="33" t="s">
        <v>64</v>
      </c>
      <c r="J380" s="25">
        <v>0.0</v>
      </c>
      <c r="K380" s="25">
        <f t="shared" si="26"/>
        <v>0</v>
      </c>
    </row>
    <row r="381" hidden="1">
      <c r="A381" s="87" t="s">
        <v>1017</v>
      </c>
      <c r="B381" s="128" t="s">
        <v>1048</v>
      </c>
      <c r="C381" s="38" t="s">
        <v>60</v>
      </c>
      <c r="D381" s="38" t="s">
        <v>119</v>
      </c>
      <c r="E381" s="129" t="s">
        <v>1049</v>
      </c>
      <c r="F381" s="22" t="s">
        <v>18</v>
      </c>
      <c r="G381" s="38" t="s">
        <v>63</v>
      </c>
      <c r="H381" s="130">
        <v>259.0</v>
      </c>
      <c r="I381" s="33" t="s">
        <v>64</v>
      </c>
      <c r="J381" s="25">
        <v>0.0</v>
      </c>
      <c r="K381" s="25">
        <f t="shared" si="26"/>
        <v>0</v>
      </c>
    </row>
    <row r="382" hidden="1">
      <c r="A382" s="87" t="s">
        <v>1017</v>
      </c>
      <c r="B382" s="128" t="s">
        <v>1050</v>
      </c>
      <c r="C382" s="38" t="s">
        <v>60</v>
      </c>
      <c r="D382" s="38" t="s">
        <v>986</v>
      </c>
      <c r="E382" s="129" t="s">
        <v>1051</v>
      </c>
      <c r="F382" s="22" t="s">
        <v>18</v>
      </c>
      <c r="G382" s="38" t="s">
        <v>63</v>
      </c>
      <c r="H382" s="130">
        <v>295.0</v>
      </c>
      <c r="I382" s="76">
        <v>4.0</v>
      </c>
      <c r="J382" s="25">
        <v>0.0</v>
      </c>
      <c r="K382" s="25">
        <f t="shared" si="26"/>
        <v>0</v>
      </c>
    </row>
    <row r="383" hidden="1">
      <c r="A383" s="87" t="s">
        <v>1017</v>
      </c>
      <c r="B383" s="17" t="s">
        <v>1052</v>
      </c>
      <c r="C383" s="38" t="s">
        <v>60</v>
      </c>
      <c r="D383" s="38" t="s">
        <v>119</v>
      </c>
      <c r="E383" s="39" t="s">
        <v>1053</v>
      </c>
      <c r="F383" s="22" t="s">
        <v>18</v>
      </c>
      <c r="G383" s="38" t="s">
        <v>63</v>
      </c>
      <c r="H383" s="40">
        <v>259.0</v>
      </c>
      <c r="I383" s="33" t="s">
        <v>64</v>
      </c>
      <c r="J383" s="25">
        <v>0.0</v>
      </c>
      <c r="K383" s="25">
        <f t="shared" si="26"/>
        <v>0</v>
      </c>
    </row>
    <row r="384" hidden="1">
      <c r="A384" s="87" t="s">
        <v>1017</v>
      </c>
      <c r="B384" s="128" t="s">
        <v>1054</v>
      </c>
      <c r="C384" s="38" t="s">
        <v>60</v>
      </c>
      <c r="D384" s="38" t="s">
        <v>251</v>
      </c>
      <c r="E384" s="129" t="s">
        <v>1055</v>
      </c>
      <c r="F384" s="22" t="s">
        <v>18</v>
      </c>
      <c r="G384" s="38" t="s">
        <v>63</v>
      </c>
      <c r="H384" s="130">
        <v>275.0</v>
      </c>
      <c r="I384" s="33" t="s">
        <v>64</v>
      </c>
      <c r="J384" s="25">
        <v>0.0</v>
      </c>
      <c r="K384" s="25">
        <f t="shared" si="26"/>
        <v>0</v>
      </c>
    </row>
    <row r="385" hidden="1">
      <c r="A385" s="87" t="s">
        <v>1017</v>
      </c>
      <c r="B385" s="132" t="s">
        <v>1056</v>
      </c>
      <c r="C385" s="38" t="s">
        <v>60</v>
      </c>
      <c r="D385" s="38" t="s">
        <v>119</v>
      </c>
      <c r="E385" s="129" t="s">
        <v>1057</v>
      </c>
      <c r="F385" s="22" t="s">
        <v>18</v>
      </c>
      <c r="G385" s="38" t="s">
        <v>63</v>
      </c>
      <c r="H385" s="130">
        <v>235.0</v>
      </c>
      <c r="I385" s="29" t="s">
        <v>64</v>
      </c>
      <c r="J385" s="25">
        <v>0.0</v>
      </c>
      <c r="K385" s="25">
        <f t="shared" si="26"/>
        <v>0</v>
      </c>
    </row>
    <row r="386" hidden="1">
      <c r="A386" s="87" t="s">
        <v>1017</v>
      </c>
      <c r="B386" s="17" t="s">
        <v>1058</v>
      </c>
      <c r="C386" s="38" t="s">
        <v>60</v>
      </c>
      <c r="D386" s="38" t="s">
        <v>119</v>
      </c>
      <c r="E386" s="39" t="s">
        <v>1059</v>
      </c>
      <c r="F386" s="22" t="s">
        <v>18</v>
      </c>
      <c r="G386" s="38" t="s">
        <v>63</v>
      </c>
      <c r="H386" s="40">
        <v>265.0</v>
      </c>
      <c r="I386" s="33" t="s">
        <v>64</v>
      </c>
      <c r="J386" s="25">
        <v>0.0</v>
      </c>
      <c r="K386" s="25">
        <f t="shared" si="26"/>
        <v>0</v>
      </c>
    </row>
    <row r="387" hidden="1">
      <c r="A387" s="87" t="s">
        <v>1017</v>
      </c>
      <c r="B387" s="128" t="s">
        <v>1060</v>
      </c>
      <c r="C387" s="38" t="s">
        <v>60</v>
      </c>
      <c r="D387" s="38" t="s">
        <v>119</v>
      </c>
      <c r="E387" s="129" t="s">
        <v>1061</v>
      </c>
      <c r="F387" s="22" t="s">
        <v>18</v>
      </c>
      <c r="G387" s="38" t="s">
        <v>63</v>
      </c>
      <c r="H387" s="130">
        <v>259.0</v>
      </c>
      <c r="I387" s="33" t="s">
        <v>64</v>
      </c>
      <c r="J387" s="25">
        <v>0.0</v>
      </c>
      <c r="K387" s="25">
        <f t="shared" si="26"/>
        <v>0</v>
      </c>
    </row>
    <row r="388" hidden="1">
      <c r="A388" s="87" t="s">
        <v>1017</v>
      </c>
      <c r="B388" s="133" t="s">
        <v>1062</v>
      </c>
      <c r="C388" s="38" t="s">
        <v>60</v>
      </c>
      <c r="D388" s="38" t="s">
        <v>986</v>
      </c>
      <c r="E388" s="129" t="s">
        <v>1063</v>
      </c>
      <c r="F388" s="22" t="s">
        <v>278</v>
      </c>
      <c r="G388" s="38" t="s">
        <v>63</v>
      </c>
      <c r="H388" s="130">
        <v>299.0</v>
      </c>
      <c r="I388" s="76">
        <v>3.0</v>
      </c>
      <c r="J388" s="25">
        <v>0.0</v>
      </c>
      <c r="K388" s="25">
        <f t="shared" si="26"/>
        <v>0</v>
      </c>
    </row>
    <row r="389" hidden="1">
      <c r="A389" s="87" t="s">
        <v>1017</v>
      </c>
      <c r="B389" s="128" t="s">
        <v>1064</v>
      </c>
      <c r="C389" s="38" t="s">
        <v>60</v>
      </c>
      <c r="D389" s="38" t="s">
        <v>119</v>
      </c>
      <c r="E389" s="129" t="s">
        <v>1065</v>
      </c>
      <c r="F389" s="22" t="s">
        <v>18</v>
      </c>
      <c r="G389" s="38" t="s">
        <v>63</v>
      </c>
      <c r="H389" s="130">
        <v>295.0</v>
      </c>
      <c r="I389" s="33" t="s">
        <v>64</v>
      </c>
      <c r="J389" s="25">
        <v>0.0</v>
      </c>
      <c r="K389" s="25">
        <f t="shared" si="26"/>
        <v>0</v>
      </c>
    </row>
    <row r="390" hidden="1">
      <c r="A390" s="87" t="s">
        <v>1017</v>
      </c>
      <c r="B390" s="128" t="s">
        <v>1066</v>
      </c>
      <c r="C390" s="38" t="s">
        <v>60</v>
      </c>
      <c r="D390" s="38" t="s">
        <v>119</v>
      </c>
      <c r="E390" s="129" t="s">
        <v>1067</v>
      </c>
      <c r="F390" s="22" t="s">
        <v>18</v>
      </c>
      <c r="G390" s="38" t="s">
        <v>63</v>
      </c>
      <c r="H390" s="130">
        <v>295.0</v>
      </c>
      <c r="I390" s="33" t="s">
        <v>64</v>
      </c>
      <c r="J390" s="25">
        <v>0.0</v>
      </c>
      <c r="K390" s="25">
        <f t="shared" si="26"/>
        <v>0</v>
      </c>
    </row>
    <row r="391" hidden="1">
      <c r="A391" s="87" t="s">
        <v>1017</v>
      </c>
      <c r="B391" s="128" t="s">
        <v>1068</v>
      </c>
      <c r="C391" s="38" t="s">
        <v>60</v>
      </c>
      <c r="D391" s="38" t="s">
        <v>119</v>
      </c>
      <c r="E391" s="129" t="s">
        <v>1069</v>
      </c>
      <c r="F391" s="22" t="s">
        <v>18</v>
      </c>
      <c r="G391" s="38" t="s">
        <v>63</v>
      </c>
      <c r="H391" s="130">
        <v>295.0</v>
      </c>
      <c r="I391" s="33" t="s">
        <v>64</v>
      </c>
      <c r="J391" s="25">
        <v>0.0</v>
      </c>
      <c r="K391" s="25">
        <f t="shared" si="26"/>
        <v>0</v>
      </c>
    </row>
    <row r="392" hidden="1">
      <c r="A392" s="87" t="s">
        <v>1017</v>
      </c>
      <c r="B392" s="31" t="s">
        <v>1070</v>
      </c>
      <c r="C392" s="38" t="s">
        <v>60</v>
      </c>
      <c r="D392" s="38" t="s">
        <v>119</v>
      </c>
      <c r="E392" s="39" t="s">
        <v>1071</v>
      </c>
      <c r="F392" s="22" t="s">
        <v>18</v>
      </c>
      <c r="G392" s="38" t="s">
        <v>63</v>
      </c>
      <c r="H392" s="40">
        <v>295.0</v>
      </c>
      <c r="I392" s="33" t="s">
        <v>64</v>
      </c>
      <c r="J392" s="25">
        <v>0.0</v>
      </c>
      <c r="K392" s="25">
        <f t="shared" si="26"/>
        <v>0</v>
      </c>
    </row>
    <row r="393" hidden="1">
      <c r="A393" s="87" t="s">
        <v>1017</v>
      </c>
      <c r="B393" s="128" t="s">
        <v>1072</v>
      </c>
      <c r="C393" s="38" t="s">
        <v>60</v>
      </c>
      <c r="D393" s="38" t="s">
        <v>119</v>
      </c>
      <c r="E393" s="129" t="s">
        <v>1073</v>
      </c>
      <c r="F393" s="22" t="s">
        <v>18</v>
      </c>
      <c r="G393" s="38" t="s">
        <v>63</v>
      </c>
      <c r="H393" s="130">
        <v>259.0</v>
      </c>
      <c r="I393" s="33" t="s">
        <v>64</v>
      </c>
      <c r="J393" s="25">
        <v>0.0</v>
      </c>
      <c r="K393" s="25">
        <f t="shared" si="26"/>
        <v>0</v>
      </c>
    </row>
    <row r="394" hidden="1">
      <c r="A394" s="87" t="s">
        <v>1017</v>
      </c>
      <c r="B394" s="128" t="s">
        <v>1074</v>
      </c>
      <c r="C394" s="38" t="s">
        <v>60</v>
      </c>
      <c r="D394" s="38" t="s">
        <v>251</v>
      </c>
      <c r="E394" s="129" t="s">
        <v>1075</v>
      </c>
      <c r="F394" s="22" t="s">
        <v>18</v>
      </c>
      <c r="G394" s="38" t="s">
        <v>63</v>
      </c>
      <c r="H394" s="131">
        <v>175.0</v>
      </c>
      <c r="I394" s="33" t="s">
        <v>64</v>
      </c>
      <c r="J394" s="25">
        <v>0.0</v>
      </c>
      <c r="K394" s="25">
        <f t="shared" si="26"/>
        <v>0</v>
      </c>
    </row>
    <row r="395" ht="22.5" hidden="1" customHeight="1">
      <c r="A395" s="89" t="s">
        <v>1076</v>
      </c>
      <c r="B395" s="13"/>
      <c r="C395" s="13"/>
      <c r="D395" s="13"/>
      <c r="E395" s="13"/>
      <c r="F395" s="13"/>
      <c r="G395" s="13"/>
      <c r="H395" s="13"/>
      <c r="I395" s="14"/>
      <c r="J395" s="90"/>
      <c r="K395" s="90"/>
    </row>
    <row r="396" ht="35.25" hidden="1" customHeight="1">
      <c r="A396" s="37" t="s">
        <v>1077</v>
      </c>
      <c r="B396" s="17" t="s">
        <v>1078</v>
      </c>
      <c r="C396" s="38" t="s">
        <v>15</v>
      </c>
      <c r="D396" s="38" t="s">
        <v>224</v>
      </c>
      <c r="E396" s="60" t="s">
        <v>1079</v>
      </c>
      <c r="F396" s="86" t="s">
        <v>105</v>
      </c>
      <c r="G396" s="38" t="s">
        <v>63</v>
      </c>
      <c r="H396" s="40">
        <v>235.0</v>
      </c>
      <c r="I396" s="48">
        <v>3.0</v>
      </c>
      <c r="J396" s="25">
        <v>0.0</v>
      </c>
      <c r="K396" s="25">
        <f t="shared" ref="K396:K397" si="27">PRODUCT(H396,J396)</f>
        <v>0</v>
      </c>
    </row>
    <row r="397" ht="49.5" hidden="1" customHeight="1">
      <c r="A397" s="37" t="s">
        <v>1077</v>
      </c>
      <c r="B397" s="31" t="s">
        <v>1080</v>
      </c>
      <c r="C397" s="63" t="s">
        <v>42</v>
      </c>
      <c r="D397" s="63" t="s">
        <v>1081</v>
      </c>
      <c r="E397" s="64" t="s">
        <v>1082</v>
      </c>
      <c r="F397" s="62" t="s">
        <v>312</v>
      </c>
      <c r="G397" s="63" t="s">
        <v>63</v>
      </c>
      <c r="H397" s="47">
        <v>245.0</v>
      </c>
      <c r="I397" s="48">
        <v>1.0</v>
      </c>
      <c r="J397" s="25">
        <v>0.0</v>
      </c>
      <c r="K397" s="25">
        <f t="shared" si="27"/>
        <v>0</v>
      </c>
    </row>
    <row r="398" ht="21.75" hidden="1" customHeight="1">
      <c r="A398" s="35" t="s">
        <v>1083</v>
      </c>
      <c r="B398" s="13"/>
      <c r="C398" s="13"/>
      <c r="D398" s="13"/>
      <c r="E398" s="13"/>
      <c r="F398" s="13"/>
      <c r="G398" s="13"/>
      <c r="H398" s="13"/>
      <c r="I398" s="14"/>
      <c r="J398" s="36"/>
      <c r="K398" s="36"/>
    </row>
    <row r="399" hidden="1">
      <c r="A399" s="37" t="s">
        <v>1084</v>
      </c>
      <c r="B399" s="17" t="s">
        <v>1085</v>
      </c>
      <c r="C399" s="4" t="s">
        <v>282</v>
      </c>
      <c r="D399" s="4" t="s">
        <v>1086</v>
      </c>
      <c r="E399" s="134" t="s">
        <v>1087</v>
      </c>
      <c r="F399" s="4" t="s">
        <v>105</v>
      </c>
      <c r="G399" s="45" t="s">
        <v>63</v>
      </c>
      <c r="H399" s="52">
        <v>199.0</v>
      </c>
      <c r="I399" s="48">
        <v>5.0</v>
      </c>
      <c r="J399" s="25">
        <v>0.0</v>
      </c>
      <c r="K399" s="25">
        <f t="shared" ref="K399:K401" si="28">PRODUCT(H399,J399)</f>
        <v>0</v>
      </c>
    </row>
    <row r="400" hidden="1">
      <c r="A400" s="37" t="s">
        <v>1084</v>
      </c>
      <c r="B400" s="17" t="s">
        <v>1088</v>
      </c>
      <c r="C400" s="4" t="s">
        <v>22</v>
      </c>
      <c r="D400" s="4" t="s">
        <v>1081</v>
      </c>
      <c r="E400" s="134" t="s">
        <v>1089</v>
      </c>
      <c r="F400" s="4" t="s">
        <v>312</v>
      </c>
      <c r="G400" s="45" t="s">
        <v>63</v>
      </c>
      <c r="H400" s="52">
        <v>255.0</v>
      </c>
      <c r="I400" s="48">
        <v>9.0</v>
      </c>
      <c r="J400" s="25">
        <v>0.0</v>
      </c>
      <c r="K400" s="25">
        <f t="shared" si="28"/>
        <v>0</v>
      </c>
    </row>
    <row r="401" hidden="1">
      <c r="A401" s="37" t="s">
        <v>1084</v>
      </c>
      <c r="B401" s="17" t="s">
        <v>1090</v>
      </c>
      <c r="C401" s="4" t="s">
        <v>503</v>
      </c>
      <c r="D401" s="4" t="s">
        <v>1091</v>
      </c>
      <c r="E401" s="134" t="s">
        <v>1092</v>
      </c>
      <c r="F401" s="4" t="s">
        <v>105</v>
      </c>
      <c r="G401" s="45" t="s">
        <v>63</v>
      </c>
      <c r="H401" s="52">
        <v>215.0</v>
      </c>
      <c r="I401" s="51" t="s">
        <v>64</v>
      </c>
      <c r="J401" s="25">
        <v>0.0</v>
      </c>
      <c r="K401" s="25">
        <f t="shared" si="28"/>
        <v>0</v>
      </c>
    </row>
    <row r="402" ht="22.5" hidden="1" customHeight="1">
      <c r="A402" s="35" t="s">
        <v>1093</v>
      </c>
      <c r="B402" s="13"/>
      <c r="C402" s="13"/>
      <c r="D402" s="13"/>
      <c r="E402" s="13"/>
      <c r="F402" s="13"/>
      <c r="G402" s="13"/>
      <c r="H402" s="13"/>
      <c r="I402" s="14"/>
      <c r="J402" s="36"/>
      <c r="K402" s="36"/>
    </row>
    <row r="403" hidden="1">
      <c r="A403" s="37" t="s">
        <v>1094</v>
      </c>
      <c r="B403" s="26" t="s">
        <v>1095</v>
      </c>
      <c r="C403" s="34" t="s">
        <v>150</v>
      </c>
      <c r="D403" s="75" t="s">
        <v>251</v>
      </c>
      <c r="E403" s="98" t="s">
        <v>1096</v>
      </c>
      <c r="F403" s="34" t="s">
        <v>153</v>
      </c>
      <c r="G403" s="68" t="s">
        <v>1097</v>
      </c>
      <c r="H403" s="57">
        <v>205.0</v>
      </c>
      <c r="I403" s="33" t="s">
        <v>64</v>
      </c>
      <c r="J403" s="25">
        <v>0.0</v>
      </c>
      <c r="K403" s="25">
        <f t="shared" ref="K403:K408" si="29">PRODUCT(H403,J403)</f>
        <v>0</v>
      </c>
    </row>
    <row r="404" hidden="1">
      <c r="A404" s="37" t="s">
        <v>1094</v>
      </c>
      <c r="B404" s="32" t="s">
        <v>1098</v>
      </c>
      <c r="C404" s="34" t="s">
        <v>150</v>
      </c>
      <c r="D404" s="34" t="s">
        <v>1099</v>
      </c>
      <c r="E404" s="27" t="s">
        <v>1100</v>
      </c>
      <c r="F404" s="34" t="s">
        <v>1101</v>
      </c>
      <c r="G404" s="68" t="s">
        <v>1097</v>
      </c>
      <c r="H404" s="23">
        <v>1249.0</v>
      </c>
      <c r="I404" s="33" t="s">
        <v>64</v>
      </c>
      <c r="J404" s="25">
        <v>0.0</v>
      </c>
      <c r="K404" s="25">
        <f t="shared" si="29"/>
        <v>0</v>
      </c>
    </row>
    <row r="405" hidden="1">
      <c r="A405" s="37" t="s">
        <v>1094</v>
      </c>
      <c r="B405" s="32" t="s">
        <v>1102</v>
      </c>
      <c r="C405" s="34" t="s">
        <v>150</v>
      </c>
      <c r="D405" s="34" t="s">
        <v>90</v>
      </c>
      <c r="E405" s="27" t="s">
        <v>1103</v>
      </c>
      <c r="F405" s="34" t="s">
        <v>153</v>
      </c>
      <c r="G405" s="68" t="s">
        <v>1097</v>
      </c>
      <c r="H405" s="23">
        <v>195.0</v>
      </c>
      <c r="I405" s="33" t="s">
        <v>64</v>
      </c>
      <c r="J405" s="25">
        <v>0.0</v>
      </c>
      <c r="K405" s="25">
        <f t="shared" si="29"/>
        <v>0</v>
      </c>
    </row>
    <row r="406" hidden="1">
      <c r="A406" s="37" t="s">
        <v>1094</v>
      </c>
      <c r="B406" s="32" t="s">
        <v>1104</v>
      </c>
      <c r="C406" s="34" t="s">
        <v>150</v>
      </c>
      <c r="D406" s="34" t="s">
        <v>251</v>
      </c>
      <c r="E406" s="27" t="s">
        <v>1105</v>
      </c>
      <c r="F406" s="34" t="s">
        <v>153</v>
      </c>
      <c r="G406" s="68" t="s">
        <v>1097</v>
      </c>
      <c r="H406" s="23">
        <v>185.0</v>
      </c>
      <c r="I406" s="33" t="s">
        <v>64</v>
      </c>
      <c r="J406" s="25">
        <v>0.0</v>
      </c>
      <c r="K406" s="25">
        <f t="shared" si="29"/>
        <v>0</v>
      </c>
    </row>
    <row r="407" hidden="1">
      <c r="A407" s="37" t="s">
        <v>1094</v>
      </c>
      <c r="B407" s="32" t="s">
        <v>1106</v>
      </c>
      <c r="C407" s="34" t="s">
        <v>150</v>
      </c>
      <c r="D407" s="34" t="s">
        <v>151</v>
      </c>
      <c r="E407" s="27" t="s">
        <v>1107</v>
      </c>
      <c r="F407" s="34" t="s">
        <v>153</v>
      </c>
      <c r="G407" s="68" t="s">
        <v>1097</v>
      </c>
      <c r="H407" s="23">
        <v>185.0</v>
      </c>
      <c r="I407" s="33" t="s">
        <v>64</v>
      </c>
      <c r="J407" s="25">
        <v>0.0</v>
      </c>
      <c r="K407" s="25">
        <f t="shared" si="29"/>
        <v>0</v>
      </c>
    </row>
    <row r="408" hidden="1">
      <c r="A408" s="37" t="s">
        <v>1094</v>
      </c>
      <c r="B408" s="26" t="s">
        <v>1108</v>
      </c>
      <c r="C408" s="34" t="s">
        <v>150</v>
      </c>
      <c r="D408" s="34" t="s">
        <v>90</v>
      </c>
      <c r="E408" s="98" t="s">
        <v>1109</v>
      </c>
      <c r="F408" s="75" t="s">
        <v>156</v>
      </c>
      <c r="G408" s="68" t="s">
        <v>1097</v>
      </c>
      <c r="H408" s="57">
        <v>599.0</v>
      </c>
      <c r="I408" s="33" t="s">
        <v>64</v>
      </c>
      <c r="J408" s="25">
        <v>0.0</v>
      </c>
      <c r="K408" s="25">
        <f t="shared" si="29"/>
        <v>0</v>
      </c>
    </row>
    <row r="409" hidden="1">
      <c r="A409" s="89" t="s">
        <v>1110</v>
      </c>
      <c r="B409" s="13"/>
      <c r="C409" s="13"/>
      <c r="D409" s="13"/>
      <c r="E409" s="13"/>
      <c r="F409" s="13"/>
      <c r="G409" s="13"/>
      <c r="H409" s="13"/>
      <c r="I409" s="14"/>
      <c r="J409" s="90"/>
      <c r="K409" s="90"/>
    </row>
    <row r="410" hidden="1">
      <c r="A410" s="37" t="s">
        <v>1111</v>
      </c>
      <c r="B410" s="17" t="s">
        <v>1112</v>
      </c>
      <c r="C410" s="75" t="s">
        <v>150</v>
      </c>
      <c r="D410" s="4" t="s">
        <v>974</v>
      </c>
      <c r="E410" s="134" t="s">
        <v>1113</v>
      </c>
      <c r="F410" s="4" t="s">
        <v>156</v>
      </c>
      <c r="G410" s="4" t="s">
        <v>1114</v>
      </c>
      <c r="H410" s="52">
        <v>449.0</v>
      </c>
      <c r="I410" s="51" t="s">
        <v>64</v>
      </c>
      <c r="J410" s="25">
        <v>0.0</v>
      </c>
      <c r="K410" s="25">
        <f>PRODUCT(H410,J410)</f>
        <v>0</v>
      </c>
    </row>
    <row r="411" ht="24.75" hidden="1" customHeight="1">
      <c r="A411" s="53" t="s">
        <v>1115</v>
      </c>
      <c r="B411" s="13"/>
      <c r="C411" s="13"/>
      <c r="D411" s="13"/>
      <c r="E411" s="13"/>
      <c r="F411" s="13"/>
      <c r="G411" s="13"/>
      <c r="H411" s="13"/>
      <c r="I411" s="14"/>
      <c r="J411" s="54"/>
      <c r="K411" s="54"/>
    </row>
    <row r="412" hidden="1">
      <c r="A412" s="37" t="s">
        <v>1116</v>
      </c>
      <c r="B412" s="31" t="s">
        <v>1117</v>
      </c>
      <c r="C412" s="38" t="s">
        <v>42</v>
      </c>
      <c r="D412" s="38" t="s">
        <v>1118</v>
      </c>
      <c r="E412" s="39" t="s">
        <v>1119</v>
      </c>
      <c r="F412" s="22" t="s">
        <v>18</v>
      </c>
      <c r="G412" s="38" t="s">
        <v>63</v>
      </c>
      <c r="H412" s="40">
        <v>269.0</v>
      </c>
      <c r="I412" s="29" t="s">
        <v>64</v>
      </c>
      <c r="J412" s="25">
        <v>0.0</v>
      </c>
      <c r="K412" s="25">
        <f t="shared" ref="K412:K429" si="30">PRODUCT(H412,J412)</f>
        <v>0</v>
      </c>
    </row>
    <row r="413" hidden="1">
      <c r="A413" s="37" t="s">
        <v>1116</v>
      </c>
      <c r="B413" s="31" t="s">
        <v>1120</v>
      </c>
      <c r="C413" s="38" t="s">
        <v>286</v>
      </c>
      <c r="D413" s="38" t="s">
        <v>1121</v>
      </c>
      <c r="E413" s="39" t="s">
        <v>1122</v>
      </c>
      <c r="F413" s="22" t="s">
        <v>18</v>
      </c>
      <c r="G413" s="38" t="s">
        <v>63</v>
      </c>
      <c r="H413" s="40">
        <v>309.0</v>
      </c>
      <c r="I413" s="29" t="s">
        <v>64</v>
      </c>
      <c r="J413" s="25">
        <v>0.0</v>
      </c>
      <c r="K413" s="25">
        <f t="shared" si="30"/>
        <v>0</v>
      </c>
    </row>
    <row r="414" hidden="1">
      <c r="A414" s="37" t="s">
        <v>1116</v>
      </c>
      <c r="B414" s="31" t="s">
        <v>1123</v>
      </c>
      <c r="C414" s="38" t="s">
        <v>111</v>
      </c>
      <c r="D414" s="38" t="s">
        <v>1124</v>
      </c>
      <c r="E414" s="39" t="s">
        <v>1125</v>
      </c>
      <c r="F414" s="22" t="s">
        <v>18</v>
      </c>
      <c r="G414" s="38" t="s">
        <v>63</v>
      </c>
      <c r="H414" s="40">
        <v>275.0</v>
      </c>
      <c r="I414" s="29" t="s">
        <v>64</v>
      </c>
      <c r="J414" s="25">
        <v>0.0</v>
      </c>
      <c r="K414" s="25">
        <f t="shared" si="30"/>
        <v>0</v>
      </c>
    </row>
    <row r="415" hidden="1">
      <c r="A415" s="37" t="s">
        <v>1116</v>
      </c>
      <c r="B415" s="31" t="s">
        <v>1126</v>
      </c>
      <c r="C415" s="38" t="s">
        <v>286</v>
      </c>
      <c r="D415" s="38" t="s">
        <v>1127</v>
      </c>
      <c r="E415" s="39" t="s">
        <v>1128</v>
      </c>
      <c r="F415" s="22" t="s">
        <v>18</v>
      </c>
      <c r="G415" s="38" t="s">
        <v>63</v>
      </c>
      <c r="H415" s="40">
        <v>325.0</v>
      </c>
      <c r="I415" s="33" t="s">
        <v>64</v>
      </c>
      <c r="J415" s="25">
        <v>0.0</v>
      </c>
      <c r="K415" s="25">
        <f t="shared" si="30"/>
        <v>0</v>
      </c>
    </row>
    <row r="416" hidden="1">
      <c r="A416" s="37" t="s">
        <v>1116</v>
      </c>
      <c r="B416" s="31" t="s">
        <v>1129</v>
      </c>
      <c r="C416" s="41" t="s">
        <v>15</v>
      </c>
      <c r="D416" s="38" t="s">
        <v>1130</v>
      </c>
      <c r="E416" s="39" t="s">
        <v>1131</v>
      </c>
      <c r="F416" s="22" t="s">
        <v>18</v>
      </c>
      <c r="G416" s="38" t="s">
        <v>63</v>
      </c>
      <c r="H416" s="40">
        <v>189.0</v>
      </c>
      <c r="I416" s="33" t="s">
        <v>64</v>
      </c>
      <c r="J416" s="25">
        <v>0.0</v>
      </c>
      <c r="K416" s="25">
        <f t="shared" si="30"/>
        <v>0</v>
      </c>
    </row>
    <row r="417" hidden="1">
      <c r="A417" s="37" t="s">
        <v>1116</v>
      </c>
      <c r="B417" s="17" t="s">
        <v>1132</v>
      </c>
      <c r="C417" s="45" t="s">
        <v>286</v>
      </c>
      <c r="D417" s="45" t="s">
        <v>1133</v>
      </c>
      <c r="E417" s="50" t="s">
        <v>1134</v>
      </c>
      <c r="F417" s="46" t="s">
        <v>18</v>
      </c>
      <c r="G417" s="45" t="s">
        <v>63</v>
      </c>
      <c r="H417" s="52">
        <v>329.0</v>
      </c>
      <c r="I417" s="51" t="s">
        <v>64</v>
      </c>
      <c r="J417" s="25">
        <v>0.0</v>
      </c>
      <c r="K417" s="25">
        <f t="shared" si="30"/>
        <v>0</v>
      </c>
    </row>
    <row r="418" hidden="1">
      <c r="A418" s="37" t="s">
        <v>1116</v>
      </c>
      <c r="B418" s="17" t="s">
        <v>1135</v>
      </c>
      <c r="C418" s="45" t="s">
        <v>60</v>
      </c>
      <c r="D418" s="45" t="s">
        <v>119</v>
      </c>
      <c r="E418" s="50" t="s">
        <v>1136</v>
      </c>
      <c r="F418" s="46" t="s">
        <v>184</v>
      </c>
      <c r="G418" s="45" t="s">
        <v>63</v>
      </c>
      <c r="H418" s="52">
        <v>349.0</v>
      </c>
      <c r="I418" s="51" t="s">
        <v>64</v>
      </c>
      <c r="J418" s="25">
        <v>0.0</v>
      </c>
      <c r="K418" s="25">
        <f t="shared" si="30"/>
        <v>0</v>
      </c>
    </row>
    <row r="419" hidden="1">
      <c r="A419" s="37" t="s">
        <v>1116</v>
      </c>
      <c r="B419" s="31" t="s">
        <v>1137</v>
      </c>
      <c r="C419" s="38" t="s">
        <v>1138</v>
      </c>
      <c r="D419" s="38" t="s">
        <v>1139</v>
      </c>
      <c r="E419" s="39" t="s">
        <v>1140</v>
      </c>
      <c r="F419" s="22" t="s">
        <v>18</v>
      </c>
      <c r="G419" s="38" t="s">
        <v>63</v>
      </c>
      <c r="H419" s="40">
        <v>229.0</v>
      </c>
      <c r="I419" s="29" t="s">
        <v>64</v>
      </c>
      <c r="J419" s="25">
        <v>0.0</v>
      </c>
      <c r="K419" s="25">
        <f t="shared" si="30"/>
        <v>0</v>
      </c>
    </row>
    <row r="420" hidden="1">
      <c r="A420" s="37" t="s">
        <v>1116</v>
      </c>
      <c r="B420" s="31" t="s">
        <v>1141</v>
      </c>
      <c r="C420" s="41" t="s">
        <v>935</v>
      </c>
      <c r="D420" s="38" t="s">
        <v>486</v>
      </c>
      <c r="E420" s="39" t="s">
        <v>1142</v>
      </c>
      <c r="F420" s="22" t="s">
        <v>18</v>
      </c>
      <c r="G420" s="38" t="s">
        <v>63</v>
      </c>
      <c r="H420" s="40">
        <v>185.0</v>
      </c>
      <c r="I420" s="76">
        <v>1.0</v>
      </c>
      <c r="J420" s="25">
        <v>0.0</v>
      </c>
      <c r="K420" s="25">
        <f t="shared" si="30"/>
        <v>0</v>
      </c>
    </row>
    <row r="421" hidden="1">
      <c r="A421" s="37" t="s">
        <v>1116</v>
      </c>
      <c r="B421" s="31" t="s">
        <v>1143</v>
      </c>
      <c r="C421" s="38" t="s">
        <v>115</v>
      </c>
      <c r="D421" s="38" t="s">
        <v>1144</v>
      </c>
      <c r="E421" s="39" t="s">
        <v>1145</v>
      </c>
      <c r="F421" s="22" t="s">
        <v>18</v>
      </c>
      <c r="G421" s="38" t="s">
        <v>63</v>
      </c>
      <c r="H421" s="40">
        <v>275.0</v>
      </c>
      <c r="I421" s="76">
        <v>9.0</v>
      </c>
      <c r="J421" s="25">
        <v>0.0</v>
      </c>
      <c r="K421" s="25">
        <f t="shared" si="30"/>
        <v>0</v>
      </c>
    </row>
    <row r="422" hidden="1">
      <c r="A422" s="37" t="s">
        <v>1116</v>
      </c>
      <c r="B422" s="17" t="s">
        <v>1146</v>
      </c>
      <c r="C422" s="45" t="s">
        <v>1147</v>
      </c>
      <c r="D422" s="45" t="s">
        <v>1148</v>
      </c>
      <c r="E422" s="50" t="s">
        <v>1149</v>
      </c>
      <c r="F422" s="46" t="s">
        <v>18</v>
      </c>
      <c r="G422" s="45" t="s">
        <v>63</v>
      </c>
      <c r="H422" s="52">
        <v>255.0</v>
      </c>
      <c r="I422" s="51" t="s">
        <v>64</v>
      </c>
      <c r="J422" s="25">
        <v>0.0</v>
      </c>
      <c r="K422" s="25">
        <f t="shared" si="30"/>
        <v>0</v>
      </c>
    </row>
    <row r="423" hidden="1">
      <c r="A423" s="37" t="s">
        <v>1116</v>
      </c>
      <c r="B423" s="17" t="s">
        <v>1150</v>
      </c>
      <c r="C423" s="45" t="s">
        <v>1147</v>
      </c>
      <c r="D423" s="45" t="s">
        <v>1151</v>
      </c>
      <c r="E423" s="50" t="s">
        <v>1152</v>
      </c>
      <c r="F423" s="46" t="s">
        <v>18</v>
      </c>
      <c r="G423" s="45" t="s">
        <v>63</v>
      </c>
      <c r="H423" s="52">
        <v>245.0</v>
      </c>
      <c r="I423" s="51" t="s">
        <v>64</v>
      </c>
      <c r="J423" s="25">
        <v>0.0</v>
      </c>
      <c r="K423" s="25">
        <f t="shared" si="30"/>
        <v>0</v>
      </c>
    </row>
    <row r="424" hidden="1">
      <c r="A424" s="37" t="s">
        <v>1116</v>
      </c>
      <c r="B424" s="31" t="s">
        <v>1153</v>
      </c>
      <c r="C424" s="38" t="s">
        <v>1154</v>
      </c>
      <c r="D424" s="38" t="s">
        <v>1155</v>
      </c>
      <c r="E424" s="39" t="s">
        <v>1156</v>
      </c>
      <c r="F424" s="22" t="s">
        <v>18</v>
      </c>
      <c r="G424" s="38" t="s">
        <v>63</v>
      </c>
      <c r="H424" s="40">
        <v>205.0</v>
      </c>
      <c r="I424" s="29" t="s">
        <v>64</v>
      </c>
      <c r="J424" s="25">
        <v>10.0</v>
      </c>
      <c r="K424" s="25">
        <f t="shared" si="30"/>
        <v>2050</v>
      </c>
    </row>
    <row r="425" hidden="1">
      <c r="A425" s="37" t="s">
        <v>1116</v>
      </c>
      <c r="B425" s="31" t="s">
        <v>1157</v>
      </c>
      <c r="C425" s="38" t="s">
        <v>698</v>
      </c>
      <c r="D425" s="38" t="s">
        <v>1158</v>
      </c>
      <c r="E425" s="39" t="s">
        <v>1159</v>
      </c>
      <c r="F425" s="22" t="s">
        <v>18</v>
      </c>
      <c r="G425" s="38" t="s">
        <v>63</v>
      </c>
      <c r="H425" s="40">
        <v>285.0</v>
      </c>
      <c r="I425" s="29" t="s">
        <v>64</v>
      </c>
      <c r="J425" s="25">
        <v>0.0</v>
      </c>
      <c r="K425" s="25">
        <f t="shared" si="30"/>
        <v>0</v>
      </c>
    </row>
    <row r="426" hidden="1">
      <c r="A426" s="37" t="s">
        <v>1116</v>
      </c>
      <c r="B426" s="31" t="s">
        <v>1160</v>
      </c>
      <c r="C426" s="41" t="s">
        <v>1161</v>
      </c>
      <c r="D426" s="38" t="s">
        <v>1162</v>
      </c>
      <c r="E426" s="39" t="s">
        <v>1163</v>
      </c>
      <c r="F426" s="22" t="s">
        <v>18</v>
      </c>
      <c r="G426" s="38" t="s">
        <v>63</v>
      </c>
      <c r="H426" s="40">
        <v>285.0</v>
      </c>
      <c r="I426" s="29" t="s">
        <v>64</v>
      </c>
      <c r="J426" s="25">
        <v>0.0</v>
      </c>
      <c r="K426" s="25">
        <f t="shared" si="30"/>
        <v>0</v>
      </c>
    </row>
    <row r="427" hidden="1">
      <c r="A427" s="37" t="s">
        <v>1116</v>
      </c>
      <c r="B427" s="31" t="s">
        <v>1164</v>
      </c>
      <c r="C427" s="38" t="s">
        <v>698</v>
      </c>
      <c r="D427" s="38" t="s">
        <v>1158</v>
      </c>
      <c r="E427" s="39" t="s">
        <v>1165</v>
      </c>
      <c r="F427" s="22" t="s">
        <v>18</v>
      </c>
      <c r="G427" s="38" t="s">
        <v>63</v>
      </c>
      <c r="H427" s="40">
        <v>309.0</v>
      </c>
      <c r="I427" s="29" t="s">
        <v>64</v>
      </c>
      <c r="J427" s="25">
        <v>0.0</v>
      </c>
      <c r="K427" s="25">
        <f t="shared" si="30"/>
        <v>0</v>
      </c>
    </row>
    <row r="428" hidden="1">
      <c r="A428" s="37" t="s">
        <v>1116</v>
      </c>
      <c r="B428" s="17" t="s">
        <v>1166</v>
      </c>
      <c r="C428" s="46" t="s">
        <v>243</v>
      </c>
      <c r="D428" s="46" t="s">
        <v>1167</v>
      </c>
      <c r="E428" s="50" t="s">
        <v>1168</v>
      </c>
      <c r="F428" s="46" t="s">
        <v>18</v>
      </c>
      <c r="G428" s="46" t="s">
        <v>63</v>
      </c>
      <c r="H428" s="52">
        <v>249.0</v>
      </c>
      <c r="I428" s="29" t="s">
        <v>64</v>
      </c>
      <c r="J428" s="25">
        <v>0.0</v>
      </c>
      <c r="K428" s="25">
        <f t="shared" si="30"/>
        <v>0</v>
      </c>
    </row>
    <row r="429" hidden="1">
      <c r="A429" s="37" t="s">
        <v>1116</v>
      </c>
      <c r="B429" s="31" t="s">
        <v>1169</v>
      </c>
      <c r="C429" s="41" t="s">
        <v>220</v>
      </c>
      <c r="D429" s="38" t="s">
        <v>1170</v>
      </c>
      <c r="E429" s="39" t="s">
        <v>1171</v>
      </c>
      <c r="F429" s="22" t="s">
        <v>18</v>
      </c>
      <c r="G429" s="38" t="s">
        <v>63</v>
      </c>
      <c r="H429" s="40">
        <v>265.0</v>
      </c>
      <c r="I429" s="29" t="s">
        <v>64</v>
      </c>
      <c r="J429" s="25">
        <v>0.0</v>
      </c>
      <c r="K429" s="25">
        <f t="shared" si="30"/>
        <v>0</v>
      </c>
    </row>
    <row r="430">
      <c r="A430" s="135"/>
      <c r="B430" s="136"/>
      <c r="C430" s="137"/>
      <c r="D430" s="138"/>
      <c r="E430" s="139"/>
      <c r="F430" s="138"/>
      <c r="G430" s="138"/>
      <c r="H430" s="140"/>
      <c r="I430" s="141" t="s">
        <v>1172</v>
      </c>
      <c r="J430" s="142">
        <f>SUM(J3:J429)</f>
        <v>172</v>
      </c>
      <c r="K430" s="142">
        <f>SUM(K2:K429)</f>
        <v>34196</v>
      </c>
    </row>
  </sheetData>
  <autoFilter ref="$A$2:$K$430">
    <filterColumn colId="1">
      <filters blank="1">
        <filter val="Weizen 0.33"/>
        <filter val="Carmilla Сherry Cider Полусладкий"/>
        <filter val="Serotonin: Guava, Banana, Raspberry, Blackberry"/>
        <filter val="Tale of Us (#2025 Batch)"/>
        <filter val="Santa Muerte"/>
        <filter val="Sour Club"/>
        <filter val="La Lucha Libre"/>
        <filter val="Neuro Juice Orange Pulp, Mango, Pineapple"/>
        <filter val="На десерт Банан, Клубника, Ваниль"/>
        <filter val="Mr. Golding"/>
        <filter val="Зависимость"/>
        <filter val="Pale Ale"/>
        <filter val="Смузикальная пауза"/>
        <filter val="Ding-Dong"/>
        <filter val="Honeypot: Черная Смородина"/>
        <filter val="Duck Stories"/>
        <filter val="Heart of Gose"/>
        <filter val="Ласка нерпы"/>
        <filter val="В Собственном Соку: Вишня"/>
        <filter val="Томатная Дичь Острая"/>
        <filter val="Cherry Mead"/>
        <filter val="Smoothie Mead: Blueberry, Banana, Vanilla"/>
        <filter val="Straßenbahn Dunkelweizen"/>
        <filter val="Spirals"/>
        <filter val="Equilibrium: Ekuanot+Mosaic"/>
        <filter val="Вспышка"/>
        <filter val="Дзен и искусство ухода за каламанси"/>
        <filter val="Том Ям Мастер Драм"/>
        <filter val="Domofon APA"/>
        <filter val="Goko"/>
        <filter val="Удар Тайсона"/>
        <filter val="Schukowski Pils / Жуковский Пилс"/>
        <filter val="Helles"/>
        <filter val="Fondue Fountain"/>
        <filter val="Neuro Juice Banana Mango Guava Pineapple Passionfruit Orange"/>
        <filter val="Юнга (Rum Edition)"/>
        <filter val="Starovar Black Velvet"/>
        <filter val="ПИРОГ Маракуйя, Клубника"/>
        <filter val="Sound Bevvy"/>
        <filter val="Serotonin: Black Currant, Blueberry, Mango"/>
        <filter val="Street Justice Idaho7"/>
        <filter val="Сидр Полусладкий 862 бут 0.33"/>
        <filter val="Serotonin: Mango, Plum, Peach"/>
        <filter val="Festival Destroyer"/>
        <filter val="Сheesecake Point: Blueberry, Banana &amp; Almond"/>
        <filter val="Luna Park: Персик Манго Апельсин"/>
        <filter val="Tomato Method"/>
        <filter val="Pure Shores"/>
        <filter val="Голова"/>
        <filter val="Juicy Rebels"/>
        <filter val="Off the Pond"/>
        <filter val="Blueberry and Vanilla Mead"/>
        <filter val="Serotonin: Guava, Papaya, Peach, Raspberry"/>
        <filter val="Headshrinker"/>
        <filter val="FIRST LOVE: BLACK CURRANT &amp; BANANA &amp; RASPBERRY"/>
        <filter val="Hungry Artist"/>
        <filter val="Apricot Mead"/>
        <filter val="Irish Wolf"/>
        <filter val="Citrus Groove"/>
        <filter val="MOMIJIGARI"/>
        <filter val="Your Young Lordship"/>
        <filter val="XTV-1 (Frozen)"/>
        <filter val="Heart of Forest"/>
        <filter val="Summertime IPA"/>
        <filter val="Rocket Jump"/>
        <filter val="КРАФТПИТ"/>
        <filter val="Suckin Diesel Hell"/>
        <filter val="Lone Sword"/>
        <filter val="Megafauna"/>
        <filter val="Летний вайб Черная смородина"/>
        <filter val="No-Sleep Time"/>
        <filter val="Aurora Tropicalis"/>
        <filter val="Ромашка"/>
        <filter val="Tartigo"/>
        <filter val="Mead Honeysuckle"/>
        <filter val="Pear, Lime &amp; Rosemary Mead"/>
        <filter val="Your Freak Lordship"/>
        <filter val="Тотем"/>
        <filter val="Pyment Mead"/>
        <filter val="La Lucha Libre Extra"/>
        <filter val="Turn Pineapple"/>
        <filter val="Raspberry &amp; Blueberry Bochet"/>
        <filter val="Hot Wax"/>
        <filter val="Летний вайб Малина"/>
        <filter val="Nekoyama"/>
        <filter val="Зависимость Чёрный перец"/>
        <filter val="Hop Gun"/>
        <filter val="Juniper &amp; Basil Tonic Mead"/>
        <filter val="Volan"/>
        <filter val="Repose"/>
        <filter val="Borgata"/>
        <filter val="Встреча"/>
        <filter val="Kuts Sichuan Batch"/>
        <filter val="Дзен и искусство ухода за цитрусами"/>
        <filter val="SLOW &amp; TRVE: DDH+Lupulin Powder"/>
        <filter val="Рассол дико зол"/>
        <filter val="Lager Lads Club"/>
        <filter val="Bright Queen"/>
        <filter val="Mustat Kivet"/>
        <filter val="Juicy IPA"/>
        <filter val="Conwy Castle"/>
        <filter val="Fracture: Lingonberry &amp; Jalapeno"/>
        <filter val="Luna Park: Апельсин Грейпфрут Персик"/>
        <filter val="Alpha Hops: Citra"/>
        <filter val="Pomegranate &amp; Hibiscus Bochet"/>
        <filter val="Midnight Beast"/>
        <filter val="Stoner"/>
        <filter val="Lemonade: Grape"/>
        <filter val="Smoothie Mead: Grapefruit, Strawberry, Mint"/>
        <filter val="Pet Nat 2022: Batch 22"/>
        <filter val="Banshee"/>
        <filter val="Academic Pizzicato"/>
        <filter val="B-DAY Lager"/>
        <filter val="Селестиал: Strata, Citra, Mosaic"/>
        <filter val="Perennial Quest"/>
        <filter val="Raspberry, Lime, Mint Mead"/>
        <filter val="Everyday Clown"/>
        <filter val="Puzzle Berry Sour"/>
        <filter val="Fire Hazard"/>
        <filter val="Супер-Эго"/>
        <filter val="Cherrytonin"/>
        <filter val="Hop Gun Battle Royale"/>
        <filter val="Tripod"/>
        <filter val="Fruitride"/>
        <filter val="DIPA"/>
        <filter val="Smoothie Mead: Strawberry, Banana, Cranberry"/>
        <filter val="Mezzonint"/>
        <filter val="Where Is My Wind?"/>
        <filter val="Не Кричи на Кимчи"/>
        <filter val="Starovar Prazsky Lezák"/>
        <filter val="На Десерт Вишневый пирог"/>
        <filter val="Starovar ЖИГУЛИ ОSOBOE"/>
        <filter val="Kellerbier"/>
        <filter val="Solunate"/>
        <filter val="Mead Cherry"/>
        <filter val="Сидр Полусухой Псковский Терруар 0.75"/>
        <filter val="Dessert Messiah: Cherry, Macaroon &amp; Almond Syrup"/>
        <filter val="Sommer"/>
        <filter val="Seven Shimmers"/>
        <filter val="Pineapple Lime Mead"/>
        <filter val="Fracture: Apple &amp; Pomegranate"/>
        <filter val="Pils"/>
        <filter val="Full immersion"/>
        <filter val="Hyperpink: Citra Cryo, Krush, Motueka"/>
        <filter val="Cilantro"/>
        <filter val="Зависимость Кинза"/>
        <filter val="Limit Break"/>
        <filter val="Orange And Vanilla Mead"/>
        <filter val="Mako APA"/>
        <filter val="Wild Cider 2019"/>
        <filter val="ESB"/>
        <filter val="Любовь и Ревень"/>
        <filter val="Tomato Method - Kimchi"/>
        <filter val="Второе дыхание"/>
        <filter val="Санный Спорт"/>
        <filter val="PILS"/>
        <filter val="Kuts Original"/>
        <filter val="Arcane Gleam"/>
        <filter val="Peach Orange Punch Mead"/>
        <filter val="Vari Oat Beer"/>
        <filter val="Staroparkala"/>
        <filter val="Lemon Forester"/>
        <filter val="Railgun"/>
        <filter val="Pet Nat by Rebel Apple сухой &#10;игристый"/>
        <filter val="Gose"/>
        <filter val="Сидр Полусухой Псковский Терруар бут 0.33"/>
        <filter val="Starovar IPA"/>
        <filter val="Выдыхай"/>
        <filter val="Vari Corn &amp; Rice Beer"/>
        <filter val="Kuts Sea Salt Batch"/>
        <filter val="Straßenbahn"/>
        <filter val="Кислота Grapefruit"/>
        <filter val="Tiny Love"/>
        <filter val="Shroomie"/>
        <filter val="Calamansi Bochet"/>
        <filter val="Мачо Гаспачо"/>
        <filter val="Alphorn"/>
        <filter val="Waffle Shuffle: Banana, Strawberry &amp; Chocolate Syrup"/>
        <filter val="Traditional Mead"/>
        <filter val="Сидр Полусухой Hop Me ж/б 0.33"/>
        <filter val="Berry Sour Kitchen Black Currant, Mint"/>
        <filter val="Lemonade: Cherry"/>
        <filter val="FAKE PLANTS Blueberry, Raspberry &amp; Bergamot"/>
        <filter val="Десерт В Твоем Бокале"/>
        <filter val="Warlock Ritual"/>
        <filter val="Неизбежность"/>
        <filter val="Ceremony"/>
        <filter val="Cheri Cheri Lady"/>
        <filter val="Дела Ламы"/>
        <filter val="Seven Lands"/>
        <filter val="Street Justice Mosaic"/>
        <filter val="Tropical Mix"/>
        <filter val="Galaxy Edge: Blue Milk"/>
        <filter val="Melon and Lemongrass Mead"/>
        <filter val="EDEN SIN. Глава III (2023). Полусладкий игристый"/>
        <filter val="Solar Pressure (Orange ed.)"/>
        <filter val="Kannistarha"/>
        <filter val="Blueberry And Hops Mead"/>
        <filter val="Petroskoi"/>
        <filter val="Сидр Полусухой Hop Me бут 0.33"/>
        <filter val="American Pale Ale"/>
        <filter val="Цитра"/>
        <filter val="Shake Bus: Banana, Passion Fruit &amp; Calamansi"/>
        <filter val="Matilde Frozen"/>
        <filter val="Trafaret"/>
        <filter val="Starovar Munchen Helles"/>
        <filter val="Micro Kuts (Little Gose)"/>
        <filter val="Waka"/>
        <filter val="Выгорание"/>
        <filter val="Томатная дичь Мостарда"/>
        <filter val="Wish Wish"/>
        <filter val="Сидр Сухой Пуаре 0.75"/>
        <filter val="Острый Синьор Помидор"/>
        <filter val="Kolsch"/>
        <filter val="Cowberry Bochet"/>
        <filter val="ТИШИНА. Bag-in-Box. Vintage 2021"/>
        <filter val="Lagerline"/>
        <filter val="Raspberry, Mint And Hops Mead"/>
        <filter val="Who Is Here?"/>
        <filter val="Sour Passion Party"/>
        <filter val="Hellbringer"/>
        <filter val="Don Mazilic"/>
        <filter val="Mead Traditional"/>
        <filter val="Potato Day"/>
        <filter val="Зависимость Базилик"/>
        <filter val="ISO FUCKING TONIC"/>
        <filter val="We took a photo for this collab a year and a half ago"/>
        <filter val="Replica: Talus"/>
        <filter val="HOPPY LAGER"/>
        <filter val="KODAMA"/>
        <filter val="Apple,Cherry Punch Mead (Пунш Яблоко-Вишня)"/>
        <filter val="Drink ‘Em All"/>
        <filter val="Smoothie Mead: Mango, Orange"/>
        <filter val="Эбру Черная смородина, Малина, Гранат, Арония"/>
        <filter val="Mead Mango Сhili"/>
        <filter val="Ipacalypse Now"/>
        <filter val="Croissant Adept: Cherry, Raspberry &amp; Peanut Butter"/>
        <filter val="Tropical Trip"/>
        <filter val="Mead Cyser"/>
        <filter val="Сидр Сухой Hop Me ж/б 0.33"/>
        <filter val="Mead Sea-Buckthorn"/>
        <filter val="4 In 1 Super Sour"/>
        <filter val="Transistor"/>
        <filter val="WIND OF FEAR"/>
        <filter val="За Лисички Поясняем В Личке"/>
        <filter val="В Собственном Соку: Клюква"/>
        <filter val="Void Garden"/>
        <filter val="Добро"/>
        <filter val="Тропическая Дичь"/>
        <filter val="Blast Beat: DDH+Lupulin Powder"/>
        <filter val="Сидр Полусухой Органический 0.75"/>
        <filter val="Harvest Lord"/>
        <filter val="Starovar English Porter"/>
        <filter val="Kiss My Soul"/>
        <filter val="Психоделический Трип"/>
        <filter val="Backyard Party"/>
        <filter val="Strawberry &amp; Banana Pie Mead"/>
        <filter val="Strawberry'lips"/>
        <filter val="TOMATO TOMATO UKROP"/>
        <filter val="Дислексия"/>
        <filter val="Королева пентаклей"/>
        <filter val="Blackberry Mead"/>
        <filter val="King Helle Dry Hop Batch"/>
        <filter val="Starovar Greenwich"/>
        <filter val="Meet &amp; Greet (Black Tea X Raspberry)"/>
        <filter val="Ethereal Mist"/>
        <filter val="Black Currant Mead"/>
        <filter val="A Night In The Lonesome October"/>
        <filter val="Cambridge Music"/>
        <filter val="Рыжая Соня"/>
        <filter val="Waffle Shuffle: Mango, Grape &amp; Toffee"/>
        <filter val="Meltdown: Sunset"/>
        <filter val="Invaders Strike Back"/>
        <filter val="ПИРОГ Маракуйя, Слива, Малина"/>
        <filter val="Dickiy Crest Полусухой"/>
        <filter val="Krasnie Mokasiny"/>
        <filter val="Smoothie Imperial Mead: Blackberry Feijoa Lemongrass"/>
        <filter val="Lingonberry Rhubarb and Hops Mead"/>
        <filter val="ABC-Kölsch"/>
        <filter val="Shroomdalf"/>
        <filter val="ПАРСЕК"/>
        <filter val="4 Anniversary Smoothie Ale"/>
        <filter val="Maythorn"/>
        <filter val="Jackeen"/>
        <filter val="Сидр Сухой Старый Изборск бут 0.33"/>
        <filter val="Moxie"/>
        <filter val="BIG CLASH!"/>
        <filter val="Аномалия"/>
        <filter val="Kuts (Estragon Batch)"/>
        <filter val="Dry Stout"/>
        <filter val="Mousse Cake Raspberry Apricot"/>
        <filter val="На десерт Яблоко Корица Печенье"/>
        <filter val="Serotonin: Strawberry, Guava"/>
        <filter val="Neuro Juice Mango, Passionfruit"/>
        <filter val="Draft Mead"/>
        <filter val="Neuro Juice Black Currant, Strawberry, Cranberry, Raspberry, Cherry, Cowberry"/>
        <filter val="Luna Park: Манго Грейпфрут Апельсин"/>
        <filter val="Seven Seconds"/>
        <filter val="Starovar Weizen"/>
        <filter val="Стихия"/>
        <filter val="Томатная Дичь Кимчи"/>
        <filter val="The End of The Land"/>
        <filter val="Аддикция"/>
        <filter val="Медовый пломбир с черной смородиной и гуанабаной"/>
        <filter val="Томатная дичь Карри"/>
        <filter val="Птичий короб"/>
        <filter val="Druids Elixir"/>
        <filter val="Аджика Многолика"/>
        <filter val="Strawberry Lavender &amp; Hops Mead"/>
        <filter val="Mecca"/>
        <filter val="Deathspeaker"/>
        <filter val="Melchior"/>
        <filter val="Emerald Head"/>
        <filter val="Сидр Полусухой Органический бут 0.33"/>
        <filter val="Нежность"/>
        <filter val="Multi Pass Mead"/>
        <filter val="Northern Nomad"/>
        <filter val="Recovery Pils"/>
        <filter val="Mein Konig"/>
        <filter val="Dogmatic"/>
        <filter val="Сидр Полусладкий 862 0.75"/>
        <filter val="Rauchzart"/>
        <filter val="Heart of Smoke"/>
        <filter val="Сидр Сухой Ревень ж/б 0.33"/>
        <filter val="Fruitality"/>
        <filter val="Pepper Keeper"/>
        <filter val="Birthday Boy"/>
        <filter val="Street Justice Citra"/>
        <filter val="Тотем - Медведь"/>
        <filter val="BIRDS Passion Fruit, Pineapple, Mango, Banana"/>
        <filter val="Tropical Slasher"/>
        <filter val="Утро Туманное"/>
        <filter val="Токсовский Трамплин"/>
        <filter val="Kells"/>
        <filter val="Very Tasty"/>
        <filter val="Starovar Belgian Ale"/>
        <filter val="Seven Seas"/>
        <filter val="На десерт Банан, Красный апельсин, Миндаль, Ваниль)"/>
        <filter val="Томатная дичь Копченая"/>
        <filter val="Holy DIPA"/>
        <filter val="Dogwood Lemongrass Mead"/>
        <filter val="Отличный Урожай"/>
        <filter val="Žukovskij Ležák / Жуковский Лежак"/>
        <filter val="Village Stout"/>
        <filter val="Медовый пломбир с малиной"/>
        <filter val="Quince &amp; Dogwood Mead (Айва - Кизил)"/>
        <filter val="ABC-Weizen"/>
        <filter val="Пылающая Дичь"/>
        <filter val="NEIPAТЬ КОЛОТИТЬ"/>
        <filter val="Honeypot: Вишня"/>
        <filter val="Birds Mango, Strawberry. Watermelon"/>
        <filter val="Hot Smoothie You Deserve: Mango"/>
        <filter val="Томатная Дичь Мичелада"/>
        <filter val="Days Sober 00"/>
        <filter val="Evolve! Morph 7"/>
        <filter val="Muapolku"/>
        <filter val="Синьор Помидор и Друг Его Тимьян"/>
        <filter val="Вторая Личность"/>
        <filter val="Oatmeal Stout"/>
        <filter val="Cherry Nuts Mead"/>
        <filter val="Сидр Сухой Hop Me бут 0.33"/>
        <filter val="Главное — участие"/>
        <filter val="Starovar APA"/>
        <filter val="Braw Chuchter"/>
        <filter val="Зависимость Копченая"/>
        <filter val="Weizen"/>
        <filter val="Томатная Дичь"/>
        <filter val="FAKE PLANTS Guanabana x Strawberry"/>
        <filter val="Кислый движ"/>
        <filter val="Mead Citrus"/>
        <filter val="Медовый пломбир с клюквой"/>
        <filter val="Сон Масала Мандарин"/>
        <filter val="Hidden Garden #6"/>
        <filter val="Сидр Сухой Старый Изборск 0.75"/>
        <filter val="PILS 0.33"/>
        <filter val="Yogurt: Apricot"/>
        <filter val="Planespotting Spot"/>
        <filter val="Birds Guava, Kiwi, Raspberry, Pineapple"/>
        <filter val="Банановые Мозги"/>
        <filter val="Синьор Помидор и Братец Базилик"/>
        <filter val="Tripel Monke"/>
        <filter val="Твой хороший мальчик"/>
        <filter val="Desítka"/>
        <filter val="Space Moth"/>
        <filter val="Skybloom"/>
        <filter val="Tropical Domination"/>
        <filter val="Чешская деситка"/>
        <filter val="BIRDS Lychee, Mango, Banana, Passion Fruit"/>
        <filter val="Безопасный Грейпфрут"/>
        <filter val="Salt Mate"/>
        <filter val="Grapefruit Mead"/>
        <filter val="IPA"/>
      </filters>
    </filterColumn>
    <filterColumn colId="9">
      <filters blank="1">
        <filter val="12"/>
        <filter val="172"/>
        <filter val="10"/>
      </filters>
    </filterColumn>
  </autoFilter>
  <mergeCells count="35">
    <mergeCell ref="A1:D1"/>
    <mergeCell ref="F1:I1"/>
    <mergeCell ref="A3:I3"/>
    <mergeCell ref="A14:I14"/>
    <mergeCell ref="A32:I32"/>
    <mergeCell ref="A48:I48"/>
    <mergeCell ref="A63:I63"/>
    <mergeCell ref="A72:I72"/>
    <mergeCell ref="A77:I77"/>
    <mergeCell ref="A106:I106"/>
    <mergeCell ref="A131:I131"/>
    <mergeCell ref="A151:I151"/>
    <mergeCell ref="A166:I166"/>
    <mergeCell ref="A169:I169"/>
    <mergeCell ref="A180:I180"/>
    <mergeCell ref="A193:I193"/>
    <mergeCell ref="A197:I197"/>
    <mergeCell ref="A203:I203"/>
    <mergeCell ref="A216:I216"/>
    <mergeCell ref="A230:I230"/>
    <mergeCell ref="A232:I232"/>
    <mergeCell ref="A340:I340"/>
    <mergeCell ref="A365:I365"/>
    <mergeCell ref="A395:I395"/>
    <mergeCell ref="A398:I398"/>
    <mergeCell ref="A402:I402"/>
    <mergeCell ref="A409:I409"/>
    <mergeCell ref="A411:I411"/>
    <mergeCell ref="A241:I241"/>
    <mergeCell ref="A261:I261"/>
    <mergeCell ref="A263:I263"/>
    <mergeCell ref="A268:I268"/>
    <mergeCell ref="A290:I290"/>
    <mergeCell ref="A307:I307"/>
    <mergeCell ref="A334:I334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3"/>
    <hyperlink r:id="rId67" ref="B74"/>
    <hyperlink r:id="rId68" ref="B75"/>
    <hyperlink r:id="rId69" ref="B76"/>
    <hyperlink r:id="rId70" ref="B78"/>
    <hyperlink r:id="rId71" ref="B79"/>
    <hyperlink r:id="rId72" ref="B80"/>
    <hyperlink r:id="rId73" ref="B81"/>
    <hyperlink r:id="rId74" ref="B82"/>
    <hyperlink r:id="rId75" ref="B83"/>
    <hyperlink r:id="rId76" ref="B84"/>
    <hyperlink r:id="rId77" ref="B85"/>
    <hyperlink r:id="rId78" ref="B86"/>
    <hyperlink r:id="rId79" ref="B87"/>
    <hyperlink r:id="rId80" ref="B88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6"/>
    <hyperlink r:id="rId89" ref="B97"/>
    <hyperlink r:id="rId90" ref="B98"/>
    <hyperlink r:id="rId91" ref="B99"/>
    <hyperlink r:id="rId92" ref="B100"/>
    <hyperlink r:id="rId93" ref="B101"/>
    <hyperlink r:id="rId94" ref="B102"/>
    <hyperlink r:id="rId95" ref="B103"/>
    <hyperlink r:id="rId96" ref="B104"/>
    <hyperlink r:id="rId97" ref="B105"/>
    <hyperlink r:id="rId98" ref="B107"/>
    <hyperlink r:id="rId99" ref="B108"/>
    <hyperlink r:id="rId100" ref="B109"/>
    <hyperlink r:id="rId101" ref="B110"/>
    <hyperlink r:id="rId102" ref="B111"/>
    <hyperlink r:id="rId103" ref="B112"/>
    <hyperlink r:id="rId104" ref="B113"/>
    <hyperlink r:id="rId105" ref="B114"/>
    <hyperlink r:id="rId106" ref="B115"/>
    <hyperlink r:id="rId107" ref="B116"/>
    <hyperlink r:id="rId108" ref="B117"/>
    <hyperlink r:id="rId109" ref="B118"/>
    <hyperlink r:id="rId110" ref="B119"/>
    <hyperlink r:id="rId111" ref="B120"/>
    <hyperlink r:id="rId112" ref="B121"/>
    <hyperlink r:id="rId113" ref="B122"/>
    <hyperlink r:id="rId114" ref="B123"/>
    <hyperlink r:id="rId115" ref="B124"/>
    <hyperlink r:id="rId116" ref="B125"/>
    <hyperlink r:id="rId117" ref="B126"/>
    <hyperlink r:id="rId118" ref="B127"/>
    <hyperlink r:id="rId119" ref="B128"/>
    <hyperlink r:id="rId120" ref="B129"/>
    <hyperlink r:id="rId121" ref="B130"/>
    <hyperlink r:id="rId122" ref="B132"/>
    <hyperlink r:id="rId123" ref="B133"/>
    <hyperlink r:id="rId124" ref="B134"/>
    <hyperlink r:id="rId125" ref="B135"/>
    <hyperlink r:id="rId126" ref="B136"/>
    <hyperlink r:id="rId127" ref="B137"/>
    <hyperlink r:id="rId128" ref="B138"/>
    <hyperlink r:id="rId129" ref="B139"/>
    <hyperlink r:id="rId130" ref="B140"/>
    <hyperlink r:id="rId131" ref="B141"/>
    <hyperlink r:id="rId132" ref="B142"/>
    <hyperlink r:id="rId133" ref="B143"/>
    <hyperlink r:id="rId134" ref="B144"/>
    <hyperlink r:id="rId135" ref="B145"/>
    <hyperlink r:id="rId136" ref="B146"/>
    <hyperlink r:id="rId137" ref="B147"/>
    <hyperlink r:id="rId138" ref="B148"/>
    <hyperlink r:id="rId139" ref="B149"/>
    <hyperlink r:id="rId140" ref="B150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7"/>
    <hyperlink r:id="rId156" ref="B168"/>
    <hyperlink r:id="rId157" ref="B170"/>
    <hyperlink r:id="rId158" ref="B171"/>
    <hyperlink r:id="rId159" ref="B172"/>
    <hyperlink r:id="rId160" ref="B173"/>
    <hyperlink r:id="rId161" ref="B174"/>
    <hyperlink r:id="rId162" ref="B175"/>
    <hyperlink r:id="rId163" ref="B176"/>
    <hyperlink r:id="rId164" ref="B177"/>
    <hyperlink r:id="rId165" ref="B178"/>
    <hyperlink r:id="rId166" ref="B179"/>
    <hyperlink r:id="rId167" ref="B181"/>
    <hyperlink r:id="rId168" ref="B182"/>
    <hyperlink r:id="rId169" ref="B183"/>
    <hyperlink r:id="rId170" ref="B184"/>
    <hyperlink r:id="rId171" ref="B185"/>
    <hyperlink r:id="rId172" ref="B186"/>
    <hyperlink r:id="rId173" ref="B187"/>
    <hyperlink r:id="rId174" ref="B188"/>
    <hyperlink r:id="rId175" ref="B189"/>
    <hyperlink r:id="rId176" ref="B190"/>
    <hyperlink r:id="rId177" ref="B191"/>
    <hyperlink r:id="rId178" ref="B192"/>
    <hyperlink r:id="rId179" ref="B194"/>
    <hyperlink r:id="rId180" ref="B195"/>
    <hyperlink r:id="rId181" ref="B196"/>
    <hyperlink r:id="rId182" ref="B198"/>
    <hyperlink r:id="rId183" ref="B199"/>
    <hyperlink r:id="rId184" ref="B200"/>
    <hyperlink r:id="rId185" ref="B201"/>
    <hyperlink r:id="rId186" ref="B202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2"/>
    <hyperlink r:id="rId196" ref="B213"/>
    <hyperlink r:id="rId197" ref="B214"/>
    <hyperlink r:id="rId198" ref="B215"/>
    <hyperlink r:id="rId199" ref="B217"/>
    <hyperlink r:id="rId200" ref="B218"/>
    <hyperlink r:id="rId201" ref="B219"/>
    <hyperlink r:id="rId202" ref="B220"/>
    <hyperlink r:id="rId203" ref="B221"/>
    <hyperlink r:id="rId204" ref="B222"/>
    <hyperlink r:id="rId205" ref="B223"/>
    <hyperlink r:id="rId206" ref="B224"/>
    <hyperlink r:id="rId207" ref="B225"/>
    <hyperlink r:id="rId208" ref="B226"/>
    <hyperlink r:id="rId209" ref="B227"/>
    <hyperlink r:id="rId210" ref="B228"/>
    <hyperlink r:id="rId211" ref="B229"/>
    <hyperlink r:id="rId212" location="google_vignette" ref="B231"/>
    <hyperlink r:id="rId213" ref="B233"/>
    <hyperlink r:id="rId214" ref="B234"/>
    <hyperlink r:id="rId215" ref="B235"/>
    <hyperlink r:id="rId216" ref="B236"/>
    <hyperlink r:id="rId217" ref="B238"/>
    <hyperlink r:id="rId218" ref="B239"/>
    <hyperlink r:id="rId219" ref="B240"/>
    <hyperlink r:id="rId220" ref="B242"/>
    <hyperlink r:id="rId221" ref="B243"/>
    <hyperlink r:id="rId222" ref="B244"/>
    <hyperlink r:id="rId223" ref="B245"/>
    <hyperlink r:id="rId224" ref="B246"/>
    <hyperlink r:id="rId225" ref="B247"/>
    <hyperlink r:id="rId226" ref="B248"/>
    <hyperlink r:id="rId227" ref="B249"/>
    <hyperlink r:id="rId228" ref="B250"/>
    <hyperlink r:id="rId229" ref="B251"/>
    <hyperlink r:id="rId230" ref="B252"/>
    <hyperlink r:id="rId231" ref="B253"/>
    <hyperlink r:id="rId232" ref="B254"/>
    <hyperlink r:id="rId233" ref="B255"/>
    <hyperlink r:id="rId234" ref="B256"/>
    <hyperlink r:id="rId235" ref="B257"/>
    <hyperlink r:id="rId236" ref="B258"/>
    <hyperlink r:id="rId237" ref="B259"/>
    <hyperlink r:id="rId238" ref="B260"/>
    <hyperlink r:id="rId239" ref="B262"/>
    <hyperlink r:id="rId240" ref="B264"/>
    <hyperlink r:id="rId241" ref="B265"/>
    <hyperlink r:id="rId242" ref="B266"/>
    <hyperlink r:id="rId243" ref="B267"/>
    <hyperlink r:id="rId244" ref="B269"/>
    <hyperlink r:id="rId245" ref="B270"/>
    <hyperlink r:id="rId246" ref="B271"/>
    <hyperlink r:id="rId247" ref="B272"/>
    <hyperlink r:id="rId248" ref="B273"/>
    <hyperlink r:id="rId249" ref="B274"/>
    <hyperlink r:id="rId250" ref="B275"/>
    <hyperlink r:id="rId251" ref="B276"/>
    <hyperlink r:id="rId252" ref="B277"/>
    <hyperlink r:id="rId253" ref="B278"/>
    <hyperlink r:id="rId254" ref="B279"/>
    <hyperlink r:id="rId255" ref="B280"/>
    <hyperlink r:id="rId256" ref="B281"/>
    <hyperlink r:id="rId257" ref="B282"/>
    <hyperlink r:id="rId258" ref="B283"/>
    <hyperlink r:id="rId259" ref="B284"/>
    <hyperlink r:id="rId260" ref="B285"/>
    <hyperlink r:id="rId261" ref="B286"/>
    <hyperlink r:id="rId262" ref="B287"/>
    <hyperlink r:id="rId263" ref="B288"/>
    <hyperlink r:id="rId264" ref="B289"/>
    <hyperlink r:id="rId265" ref="B291"/>
    <hyperlink r:id="rId266" ref="B292"/>
    <hyperlink r:id="rId267" ref="B293"/>
    <hyperlink r:id="rId268" ref="B294"/>
    <hyperlink r:id="rId269" ref="B295"/>
    <hyperlink r:id="rId270" ref="B296"/>
    <hyperlink r:id="rId271" ref="B297"/>
    <hyperlink r:id="rId272" ref="B298"/>
    <hyperlink r:id="rId273" ref="B299"/>
    <hyperlink r:id="rId274" ref="B300"/>
    <hyperlink r:id="rId275" ref="B301"/>
    <hyperlink r:id="rId276" ref="B302"/>
    <hyperlink r:id="rId277" ref="B303"/>
    <hyperlink r:id="rId278" ref="B304"/>
    <hyperlink r:id="rId279" ref="B305"/>
    <hyperlink r:id="rId280" ref="B306"/>
    <hyperlink r:id="rId281" ref="B308"/>
    <hyperlink r:id="rId282" ref="B309"/>
    <hyperlink r:id="rId283" ref="B310"/>
    <hyperlink r:id="rId284" ref="B311"/>
    <hyperlink r:id="rId285" ref="B312"/>
    <hyperlink r:id="rId286" ref="B313"/>
    <hyperlink r:id="rId287" ref="B314"/>
    <hyperlink r:id="rId288" ref="B315"/>
    <hyperlink r:id="rId289" ref="B316"/>
    <hyperlink r:id="rId290" ref="B317"/>
    <hyperlink r:id="rId291" ref="B318"/>
    <hyperlink r:id="rId292" ref="B319"/>
    <hyperlink r:id="rId293" ref="B320"/>
    <hyperlink r:id="rId294" ref="B321"/>
    <hyperlink r:id="rId295" ref="B322"/>
    <hyperlink r:id="rId296" ref="B323"/>
    <hyperlink r:id="rId297" ref="B324"/>
    <hyperlink r:id="rId298" ref="B325"/>
    <hyperlink r:id="rId299" ref="B326"/>
    <hyperlink r:id="rId300" ref="B327"/>
    <hyperlink r:id="rId301" ref="B328"/>
    <hyperlink r:id="rId302" ref="B329"/>
    <hyperlink r:id="rId303" ref="B330"/>
    <hyperlink r:id="rId304" ref="B331"/>
    <hyperlink r:id="rId305" ref="B332"/>
    <hyperlink r:id="rId306" ref="B333"/>
    <hyperlink r:id="rId307" ref="B335"/>
    <hyperlink r:id="rId308" ref="B336"/>
    <hyperlink r:id="rId309" ref="B337"/>
    <hyperlink r:id="rId310" ref="B338"/>
    <hyperlink r:id="rId311" ref="B339"/>
    <hyperlink r:id="rId312" ref="B341"/>
    <hyperlink r:id="rId313" ref="B342"/>
    <hyperlink r:id="rId314" ref="B343"/>
    <hyperlink r:id="rId315" ref="B344"/>
    <hyperlink r:id="rId316" ref="B345"/>
    <hyperlink r:id="rId317" ref="B346"/>
    <hyperlink r:id="rId318" ref="B347"/>
    <hyperlink r:id="rId319" ref="B348"/>
    <hyperlink r:id="rId320" ref="B349"/>
    <hyperlink r:id="rId321" ref="B350"/>
    <hyperlink r:id="rId322" ref="B351"/>
    <hyperlink r:id="rId323" ref="B352"/>
    <hyperlink r:id="rId324" ref="B353"/>
    <hyperlink r:id="rId325" ref="B354"/>
    <hyperlink r:id="rId326" ref="B355"/>
    <hyperlink r:id="rId327" ref="B356"/>
    <hyperlink r:id="rId328" ref="B357"/>
    <hyperlink r:id="rId329" ref="B358"/>
    <hyperlink r:id="rId330" ref="B359"/>
    <hyperlink r:id="rId331" ref="B360"/>
    <hyperlink r:id="rId332" ref="B361"/>
    <hyperlink r:id="rId333" ref="B362"/>
    <hyperlink r:id="rId334" ref="B363"/>
    <hyperlink r:id="rId335" ref="B364"/>
    <hyperlink r:id="rId336" ref="B366"/>
    <hyperlink r:id="rId337" ref="B367"/>
    <hyperlink r:id="rId338" ref="B368"/>
    <hyperlink r:id="rId339" ref="B369"/>
    <hyperlink r:id="rId340" ref="B370"/>
    <hyperlink r:id="rId341" ref="B371"/>
    <hyperlink r:id="rId342" ref="B372"/>
    <hyperlink r:id="rId343" ref="B373"/>
    <hyperlink r:id="rId344" ref="B374"/>
    <hyperlink r:id="rId345" ref="B375"/>
    <hyperlink r:id="rId346" ref="B376"/>
    <hyperlink r:id="rId347" ref="B377"/>
    <hyperlink r:id="rId348" ref="B378"/>
    <hyperlink r:id="rId349" ref="B379"/>
    <hyperlink r:id="rId350" ref="B380"/>
    <hyperlink r:id="rId351" ref="B381"/>
    <hyperlink r:id="rId352" ref="B382"/>
    <hyperlink r:id="rId353" ref="B383"/>
    <hyperlink r:id="rId354" ref="B384"/>
    <hyperlink r:id="rId355" ref="B385"/>
    <hyperlink r:id="rId356" ref="B386"/>
    <hyperlink r:id="rId357" ref="B387"/>
    <hyperlink r:id="rId358" ref="B388"/>
    <hyperlink r:id="rId359" ref="B389"/>
    <hyperlink r:id="rId360" ref="B390"/>
    <hyperlink r:id="rId361" ref="B391"/>
    <hyperlink r:id="rId362" ref="B392"/>
    <hyperlink r:id="rId363" ref="B393"/>
    <hyperlink r:id="rId364" ref="B394"/>
    <hyperlink r:id="rId365" ref="B396"/>
    <hyperlink r:id="rId366" ref="B397"/>
    <hyperlink r:id="rId367" ref="B399"/>
    <hyperlink r:id="rId368" ref="B400"/>
    <hyperlink r:id="rId369" ref="B401"/>
    <hyperlink r:id="rId370" ref="B403"/>
    <hyperlink r:id="rId371" ref="B404"/>
    <hyperlink r:id="rId372" ref="B405"/>
    <hyperlink r:id="rId373" ref="B406"/>
    <hyperlink r:id="rId374" ref="B407"/>
    <hyperlink r:id="rId375" ref="B408"/>
    <hyperlink r:id="rId376" ref="B410"/>
    <hyperlink r:id="rId377" ref="B412"/>
    <hyperlink r:id="rId378" ref="B413"/>
    <hyperlink r:id="rId379" ref="B414"/>
    <hyperlink r:id="rId380" ref="B415"/>
    <hyperlink r:id="rId381" ref="B416"/>
    <hyperlink r:id="rId382" ref="B417"/>
    <hyperlink r:id="rId383" ref="B418"/>
    <hyperlink r:id="rId384" ref="B419"/>
    <hyperlink r:id="rId385" ref="B420"/>
    <hyperlink r:id="rId386" ref="B421"/>
    <hyperlink r:id="rId387" ref="B422"/>
    <hyperlink r:id="rId388" ref="B423"/>
    <hyperlink r:id="rId389" ref="B424"/>
    <hyperlink r:id="rId390" ref="B425"/>
    <hyperlink r:id="rId391" ref="B426"/>
    <hyperlink r:id="rId392" ref="B427"/>
    <hyperlink r:id="rId393" ref="B428"/>
    <hyperlink r:id="rId394" ref="B42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36.0"/>
    <col customWidth="1" min="3" max="3" width="16.38"/>
    <col customWidth="1" min="4" max="4" width="17.88"/>
    <col customWidth="1" min="5" max="5" width="69.88"/>
  </cols>
  <sheetData>
    <row r="1" ht="101.25" customHeight="1">
      <c r="A1" s="1" t="s">
        <v>1173</v>
      </c>
      <c r="E1" s="2"/>
      <c r="F1" s="3" t="s">
        <v>1174</v>
      </c>
      <c r="I1" s="4"/>
      <c r="J1" s="4"/>
    </row>
    <row r="2">
      <c r="A2" s="5" t="s">
        <v>2</v>
      </c>
      <c r="B2" s="6" t="s">
        <v>3</v>
      </c>
      <c r="C2" s="7" t="s">
        <v>4</v>
      </c>
      <c r="D2" s="8" t="s">
        <v>5</v>
      </c>
      <c r="E2" s="9" t="s">
        <v>6</v>
      </c>
      <c r="F2" s="10" t="s">
        <v>1175</v>
      </c>
      <c r="G2" s="11" t="s">
        <v>1176</v>
      </c>
      <c r="H2" s="6" t="s">
        <v>10</v>
      </c>
      <c r="I2" s="11" t="s">
        <v>11</v>
      </c>
      <c r="J2" s="11" t="s">
        <v>9</v>
      </c>
    </row>
    <row r="3" hidden="1">
      <c r="A3" s="143" t="s">
        <v>12</v>
      </c>
      <c r="B3" s="13"/>
      <c r="C3" s="13"/>
      <c r="D3" s="13"/>
      <c r="E3" s="13"/>
      <c r="F3" s="13"/>
      <c r="G3" s="13"/>
      <c r="H3" s="14"/>
      <c r="I3" s="25">
        <v>10.0</v>
      </c>
      <c r="J3" s="25">
        <f>PRODUCT(G3,I3)</f>
        <v>10</v>
      </c>
    </row>
    <row r="4" hidden="1">
      <c r="A4" s="16" t="s">
        <v>13</v>
      </c>
      <c r="B4" s="26" t="s">
        <v>1177</v>
      </c>
      <c r="C4" s="18" t="s">
        <v>54</v>
      </c>
      <c r="D4" s="19" t="s">
        <v>1178</v>
      </c>
      <c r="E4" s="27" t="s">
        <v>1179</v>
      </c>
      <c r="F4" s="22">
        <v>30.0</v>
      </c>
      <c r="G4" s="29">
        <v>149.0</v>
      </c>
      <c r="H4" s="24" t="s">
        <v>20</v>
      </c>
      <c r="I4" s="25">
        <v>0.0</v>
      </c>
      <c r="J4" s="24">
        <f t="shared" ref="J4:J11" si="1">PRODUCT(PRODUCT(F4:G4),I4)</f>
        <v>0</v>
      </c>
    </row>
    <row r="5" hidden="1">
      <c r="A5" s="16" t="s">
        <v>13</v>
      </c>
      <c r="B5" s="26" t="s">
        <v>1180</v>
      </c>
      <c r="C5" s="18" t="s">
        <v>1181</v>
      </c>
      <c r="D5" s="19" t="s">
        <v>1182</v>
      </c>
      <c r="E5" s="27" t="s">
        <v>1183</v>
      </c>
      <c r="F5" s="22">
        <v>30.0</v>
      </c>
      <c r="G5" s="29">
        <v>135.0</v>
      </c>
      <c r="H5" s="24" t="s">
        <v>20</v>
      </c>
      <c r="I5" s="25">
        <v>0.0</v>
      </c>
      <c r="J5" s="24">
        <f t="shared" si="1"/>
        <v>0</v>
      </c>
    </row>
    <row r="6" hidden="1">
      <c r="A6" s="16" t="s">
        <v>13</v>
      </c>
      <c r="B6" s="26" t="s">
        <v>1184</v>
      </c>
      <c r="C6" s="18" t="s">
        <v>15</v>
      </c>
      <c r="D6" s="19" t="s">
        <v>1185</v>
      </c>
      <c r="E6" s="27" t="s">
        <v>1186</v>
      </c>
      <c r="F6" s="22">
        <v>30.0</v>
      </c>
      <c r="G6" s="29">
        <v>119.0</v>
      </c>
      <c r="H6" s="24" t="s">
        <v>20</v>
      </c>
      <c r="I6" s="25">
        <v>0.0</v>
      </c>
      <c r="J6" s="24">
        <f t="shared" si="1"/>
        <v>0</v>
      </c>
    </row>
    <row r="7" hidden="1">
      <c r="A7" s="16" t="s">
        <v>13</v>
      </c>
      <c r="B7" s="32" t="s">
        <v>21</v>
      </c>
      <c r="C7" s="18" t="s">
        <v>22</v>
      </c>
      <c r="D7" s="19" t="s">
        <v>23</v>
      </c>
      <c r="E7" s="27" t="s">
        <v>24</v>
      </c>
      <c r="F7" s="22">
        <v>20.0</v>
      </c>
      <c r="G7" s="29">
        <v>189.0</v>
      </c>
      <c r="H7" s="24" t="s">
        <v>20</v>
      </c>
      <c r="I7" s="25">
        <v>0.0</v>
      </c>
      <c r="J7" s="24">
        <f t="shared" si="1"/>
        <v>0</v>
      </c>
    </row>
    <row r="8" hidden="1">
      <c r="A8" s="16" t="s">
        <v>13</v>
      </c>
      <c r="B8" s="30" t="s">
        <v>29</v>
      </c>
      <c r="C8" s="18" t="s">
        <v>30</v>
      </c>
      <c r="D8" s="19" t="s">
        <v>31</v>
      </c>
      <c r="E8" s="20" t="s">
        <v>32</v>
      </c>
      <c r="F8" s="22">
        <v>30.0</v>
      </c>
      <c r="G8" s="29">
        <v>159.0</v>
      </c>
      <c r="H8" s="24" t="s">
        <v>20</v>
      </c>
      <c r="I8" s="25">
        <v>0.0</v>
      </c>
      <c r="J8" s="24">
        <f t="shared" si="1"/>
        <v>0</v>
      </c>
    </row>
    <row r="9" hidden="1">
      <c r="A9" s="16" t="s">
        <v>13</v>
      </c>
      <c r="B9" s="32" t="s">
        <v>41</v>
      </c>
      <c r="C9" s="18" t="s">
        <v>42</v>
      </c>
      <c r="D9" s="19" t="s">
        <v>43</v>
      </c>
      <c r="E9" s="27" t="s">
        <v>44</v>
      </c>
      <c r="F9" s="22">
        <v>20.0</v>
      </c>
      <c r="G9" s="29">
        <v>205.0</v>
      </c>
      <c r="H9" s="24" t="s">
        <v>20</v>
      </c>
      <c r="I9" s="25">
        <v>0.0</v>
      </c>
      <c r="J9" s="24">
        <f t="shared" si="1"/>
        <v>0</v>
      </c>
    </row>
    <row r="10" hidden="1">
      <c r="A10" s="16" t="s">
        <v>13</v>
      </c>
      <c r="B10" s="32" t="s">
        <v>45</v>
      </c>
      <c r="C10" s="18" t="s">
        <v>46</v>
      </c>
      <c r="D10" s="19" t="s">
        <v>47</v>
      </c>
      <c r="E10" s="27" t="s">
        <v>48</v>
      </c>
      <c r="F10" s="22">
        <v>30.0</v>
      </c>
      <c r="G10" s="29">
        <v>149.0</v>
      </c>
      <c r="H10" s="24" t="s">
        <v>20</v>
      </c>
      <c r="I10" s="25">
        <v>0.0</v>
      </c>
      <c r="J10" s="24">
        <f t="shared" si="1"/>
        <v>0</v>
      </c>
    </row>
    <row r="11">
      <c r="A11" s="16" t="s">
        <v>13</v>
      </c>
      <c r="B11" s="26" t="s">
        <v>1187</v>
      </c>
      <c r="C11" s="18" t="s">
        <v>1188</v>
      </c>
      <c r="D11" s="19" t="s">
        <v>1189</v>
      </c>
      <c r="E11" s="27" t="s">
        <v>1190</v>
      </c>
      <c r="F11" s="22">
        <v>30.0</v>
      </c>
      <c r="G11" s="29">
        <v>119.0</v>
      </c>
      <c r="H11" s="24" t="s">
        <v>20</v>
      </c>
      <c r="I11" s="25">
        <v>2.0</v>
      </c>
      <c r="J11" s="24">
        <f t="shared" si="1"/>
        <v>7140</v>
      </c>
    </row>
    <row r="12" hidden="1">
      <c r="A12" s="143" t="s">
        <v>57</v>
      </c>
      <c r="B12" s="13"/>
      <c r="C12" s="13"/>
      <c r="D12" s="13"/>
      <c r="E12" s="13"/>
      <c r="F12" s="13"/>
      <c r="G12" s="13"/>
      <c r="H12" s="14"/>
      <c r="I12" s="144"/>
      <c r="J12" s="144"/>
    </row>
    <row r="13" hidden="1">
      <c r="A13" s="145" t="s">
        <v>58</v>
      </c>
      <c r="B13" s="32" t="s">
        <v>77</v>
      </c>
      <c r="C13" s="18" t="s">
        <v>60</v>
      </c>
      <c r="D13" s="19" t="s">
        <v>61</v>
      </c>
      <c r="E13" s="27" t="s">
        <v>78</v>
      </c>
      <c r="F13" s="22">
        <v>30.0</v>
      </c>
      <c r="G13" s="29">
        <v>345.0</v>
      </c>
      <c r="H13" s="29" t="s">
        <v>64</v>
      </c>
      <c r="I13" s="25">
        <v>0.0</v>
      </c>
      <c r="J13" s="24">
        <f t="shared" ref="J13:J15" si="2">PRODUCT(PRODUCT(F13:G13),I13)</f>
        <v>0</v>
      </c>
    </row>
    <row r="14" hidden="1">
      <c r="A14" s="145" t="s">
        <v>58</v>
      </c>
      <c r="B14" s="32" t="s">
        <v>83</v>
      </c>
      <c r="C14" s="18" t="s">
        <v>60</v>
      </c>
      <c r="D14" s="19" t="s">
        <v>61</v>
      </c>
      <c r="E14" s="27" t="s">
        <v>84</v>
      </c>
      <c r="F14" s="22">
        <v>30.0</v>
      </c>
      <c r="G14" s="29">
        <v>345.0</v>
      </c>
      <c r="H14" s="29" t="s">
        <v>64</v>
      </c>
      <c r="I14" s="25">
        <v>0.0</v>
      </c>
      <c r="J14" s="24">
        <f t="shared" si="2"/>
        <v>0</v>
      </c>
    </row>
    <row r="15" hidden="1">
      <c r="A15" s="145" t="s">
        <v>58</v>
      </c>
      <c r="B15" s="32" t="s">
        <v>89</v>
      </c>
      <c r="C15" s="18" t="s">
        <v>60</v>
      </c>
      <c r="D15" s="34" t="s">
        <v>90</v>
      </c>
      <c r="E15" s="27" t="s">
        <v>91</v>
      </c>
      <c r="F15" s="22">
        <v>30.0</v>
      </c>
      <c r="G15" s="29">
        <v>245.0</v>
      </c>
      <c r="H15" s="29" t="s">
        <v>64</v>
      </c>
      <c r="I15" s="25">
        <v>0.0</v>
      </c>
      <c r="J15" s="24">
        <f t="shared" si="2"/>
        <v>0</v>
      </c>
    </row>
    <row r="16" hidden="1">
      <c r="A16" s="12" t="s">
        <v>100</v>
      </c>
      <c r="B16" s="13"/>
      <c r="C16" s="13"/>
      <c r="D16" s="13"/>
      <c r="E16" s="13"/>
      <c r="F16" s="13"/>
      <c r="G16" s="13"/>
      <c r="H16" s="14"/>
      <c r="I16" s="15"/>
      <c r="J16" s="15"/>
    </row>
    <row r="17" hidden="1">
      <c r="A17" s="37" t="s">
        <v>101</v>
      </c>
      <c r="B17" s="31" t="s">
        <v>1191</v>
      </c>
      <c r="C17" s="18" t="s">
        <v>15</v>
      </c>
      <c r="D17" s="22" t="s">
        <v>1192</v>
      </c>
      <c r="E17" s="39" t="s">
        <v>1193</v>
      </c>
      <c r="F17" s="19">
        <v>30.0</v>
      </c>
      <c r="G17" s="40">
        <v>199.0</v>
      </c>
      <c r="H17" s="146">
        <v>1.0</v>
      </c>
      <c r="I17" s="25">
        <v>0.0</v>
      </c>
      <c r="J17" s="24">
        <f t="shared" ref="J17:J28" si="3">PRODUCT(PRODUCT(F17:G17),I17)</f>
        <v>0</v>
      </c>
    </row>
    <row r="18" hidden="1">
      <c r="A18" s="37" t="s">
        <v>101</v>
      </c>
      <c r="B18" s="31" t="s">
        <v>102</v>
      </c>
      <c r="C18" s="22" t="s">
        <v>42</v>
      </c>
      <c r="D18" s="22" t="s">
        <v>103</v>
      </c>
      <c r="E18" s="60" t="s">
        <v>104</v>
      </c>
      <c r="F18" s="19">
        <v>30.0</v>
      </c>
      <c r="G18" s="40">
        <v>259.0</v>
      </c>
      <c r="H18" s="147" t="s">
        <v>64</v>
      </c>
      <c r="I18" s="25">
        <v>0.0</v>
      </c>
      <c r="J18" s="24">
        <f t="shared" si="3"/>
        <v>0</v>
      </c>
    </row>
    <row r="19">
      <c r="A19" s="37" t="s">
        <v>101</v>
      </c>
      <c r="B19" s="17" t="s">
        <v>1194</v>
      </c>
      <c r="C19" s="18" t="s">
        <v>15</v>
      </c>
      <c r="D19" s="22" t="s">
        <v>1195</v>
      </c>
      <c r="E19" s="39" t="s">
        <v>1196</v>
      </c>
      <c r="F19" s="19">
        <v>30.0</v>
      </c>
      <c r="G19" s="40">
        <v>189.0</v>
      </c>
      <c r="H19" s="147" t="s">
        <v>64</v>
      </c>
      <c r="I19" s="25">
        <v>1.0</v>
      </c>
      <c r="J19" s="24">
        <f t="shared" si="3"/>
        <v>5670</v>
      </c>
    </row>
    <row r="20" hidden="1">
      <c r="A20" s="37" t="s">
        <v>101</v>
      </c>
      <c r="B20" s="31" t="s">
        <v>107</v>
      </c>
      <c r="C20" s="38" t="s">
        <v>42</v>
      </c>
      <c r="D20" s="38" t="s">
        <v>108</v>
      </c>
      <c r="E20" s="39" t="s">
        <v>109</v>
      </c>
      <c r="F20" s="19">
        <v>30.0</v>
      </c>
      <c r="G20" s="40">
        <v>269.0</v>
      </c>
      <c r="H20" s="146">
        <v>1.0</v>
      </c>
      <c r="I20" s="25">
        <v>0.0</v>
      </c>
      <c r="J20" s="24">
        <f t="shared" si="3"/>
        <v>0</v>
      </c>
    </row>
    <row r="21" hidden="1">
      <c r="A21" s="37" t="s">
        <v>101</v>
      </c>
      <c r="B21" s="30" t="s">
        <v>1197</v>
      </c>
      <c r="C21" s="41" t="s">
        <v>42</v>
      </c>
      <c r="D21" s="41" t="s">
        <v>116</v>
      </c>
      <c r="E21" s="39" t="s">
        <v>1198</v>
      </c>
      <c r="F21" s="19">
        <v>30.0</v>
      </c>
      <c r="G21" s="40">
        <v>345.0</v>
      </c>
      <c r="H21" s="24" t="s">
        <v>20</v>
      </c>
      <c r="I21" s="25">
        <v>0.0</v>
      </c>
      <c r="J21" s="24">
        <f t="shared" si="3"/>
        <v>0</v>
      </c>
    </row>
    <row r="22" hidden="1">
      <c r="A22" s="37" t="s">
        <v>101</v>
      </c>
      <c r="B22" s="30" t="s">
        <v>1199</v>
      </c>
      <c r="C22" s="41" t="s">
        <v>42</v>
      </c>
      <c r="D22" s="41" t="s">
        <v>116</v>
      </c>
      <c r="E22" s="39" t="s">
        <v>1200</v>
      </c>
      <c r="F22" s="19">
        <v>30.0</v>
      </c>
      <c r="G22" s="40">
        <v>345.0</v>
      </c>
      <c r="H22" s="29" t="s">
        <v>64</v>
      </c>
      <c r="I22" s="25">
        <v>0.0</v>
      </c>
      <c r="J22" s="24">
        <f t="shared" si="3"/>
        <v>0</v>
      </c>
    </row>
    <row r="23" hidden="1">
      <c r="A23" s="37" t="s">
        <v>101</v>
      </c>
      <c r="B23" s="30" t="s">
        <v>114</v>
      </c>
      <c r="C23" s="41" t="s">
        <v>115</v>
      </c>
      <c r="D23" s="41" t="s">
        <v>116</v>
      </c>
      <c r="E23" s="39" t="s">
        <v>1201</v>
      </c>
      <c r="F23" s="19">
        <v>30.0</v>
      </c>
      <c r="G23" s="40">
        <v>345.0</v>
      </c>
      <c r="H23" s="29" t="s">
        <v>64</v>
      </c>
      <c r="I23" s="25">
        <v>0.0</v>
      </c>
      <c r="J23" s="24">
        <f t="shared" si="3"/>
        <v>0</v>
      </c>
    </row>
    <row r="24" hidden="1">
      <c r="A24" s="37" t="s">
        <v>101</v>
      </c>
      <c r="B24" s="31" t="s">
        <v>1202</v>
      </c>
      <c r="C24" s="18" t="s">
        <v>15</v>
      </c>
      <c r="D24" s="22" t="s">
        <v>1203</v>
      </c>
      <c r="E24" s="39" t="s">
        <v>1204</v>
      </c>
      <c r="F24" s="19">
        <v>30.0</v>
      </c>
      <c r="G24" s="40">
        <v>189.0</v>
      </c>
      <c r="H24" s="29" t="s">
        <v>64</v>
      </c>
      <c r="I24" s="25">
        <v>0.0</v>
      </c>
      <c r="J24" s="24">
        <f t="shared" si="3"/>
        <v>0</v>
      </c>
    </row>
    <row r="25" hidden="1">
      <c r="A25" s="37" t="s">
        <v>101</v>
      </c>
      <c r="B25" s="31" t="s">
        <v>1205</v>
      </c>
      <c r="C25" s="41" t="s">
        <v>1206</v>
      </c>
      <c r="D25" s="38" t="s">
        <v>1207</v>
      </c>
      <c r="E25" s="39" t="s">
        <v>1208</v>
      </c>
      <c r="F25" s="116">
        <v>30.0</v>
      </c>
      <c r="G25" s="40">
        <v>345.0</v>
      </c>
      <c r="H25" s="29" t="s">
        <v>64</v>
      </c>
      <c r="I25" s="25">
        <v>0.0</v>
      </c>
      <c r="J25" s="24">
        <f t="shared" si="3"/>
        <v>0</v>
      </c>
    </row>
    <row r="26" hidden="1">
      <c r="A26" s="37" t="s">
        <v>101</v>
      </c>
      <c r="B26" s="31" t="s">
        <v>137</v>
      </c>
      <c r="C26" s="18" t="s">
        <v>34</v>
      </c>
      <c r="D26" s="22" t="s">
        <v>138</v>
      </c>
      <c r="E26" s="39" t="s">
        <v>139</v>
      </c>
      <c r="F26" s="19">
        <v>30.0</v>
      </c>
      <c r="G26" s="40">
        <v>229.0</v>
      </c>
      <c r="H26" s="76">
        <v>1.0</v>
      </c>
      <c r="I26" s="25">
        <v>0.0</v>
      </c>
      <c r="J26" s="24">
        <f t="shared" si="3"/>
        <v>0</v>
      </c>
    </row>
    <row r="27" hidden="1">
      <c r="A27" s="37" t="s">
        <v>101</v>
      </c>
      <c r="B27" s="30" t="s">
        <v>1209</v>
      </c>
      <c r="C27" s="41" t="s">
        <v>460</v>
      </c>
      <c r="D27" s="41" t="s">
        <v>119</v>
      </c>
      <c r="E27" s="39" t="s">
        <v>1210</v>
      </c>
      <c r="F27" s="19">
        <v>30.0</v>
      </c>
      <c r="G27" s="40">
        <v>219.0</v>
      </c>
      <c r="H27" s="29" t="s">
        <v>64</v>
      </c>
      <c r="I27" s="25">
        <v>0.0</v>
      </c>
      <c r="J27" s="24">
        <f t="shared" si="3"/>
        <v>0</v>
      </c>
    </row>
    <row r="28" hidden="1">
      <c r="A28" s="37" t="s">
        <v>101</v>
      </c>
      <c r="B28" s="30" t="s">
        <v>140</v>
      </c>
      <c r="C28" s="41" t="s">
        <v>141</v>
      </c>
      <c r="D28" s="41" t="s">
        <v>142</v>
      </c>
      <c r="E28" s="39" t="s">
        <v>143</v>
      </c>
      <c r="F28" s="19">
        <v>30.0</v>
      </c>
      <c r="G28" s="40">
        <v>235.0</v>
      </c>
      <c r="H28" s="76">
        <v>1.0</v>
      </c>
      <c r="I28" s="25">
        <v>0.0</v>
      </c>
      <c r="J28" s="24">
        <f t="shared" si="3"/>
        <v>0</v>
      </c>
    </row>
    <row r="29" hidden="1">
      <c r="A29" s="143" t="s">
        <v>147</v>
      </c>
      <c r="B29" s="13"/>
      <c r="C29" s="13"/>
      <c r="D29" s="13"/>
      <c r="E29" s="13"/>
      <c r="F29" s="13"/>
      <c r="G29" s="13"/>
      <c r="H29" s="14"/>
      <c r="I29" s="144"/>
      <c r="J29" s="144"/>
    </row>
    <row r="30" hidden="1">
      <c r="A30" s="148" t="s">
        <v>148</v>
      </c>
      <c r="B30" s="30" t="s">
        <v>1211</v>
      </c>
      <c r="C30" s="18" t="s">
        <v>150</v>
      </c>
      <c r="D30" s="19" t="s">
        <v>151</v>
      </c>
      <c r="E30" s="20" t="s">
        <v>152</v>
      </c>
      <c r="F30" s="22">
        <v>20.0</v>
      </c>
      <c r="G30" s="29">
        <v>345.0</v>
      </c>
      <c r="H30" s="29" t="s">
        <v>64</v>
      </c>
      <c r="I30" s="25">
        <v>0.0</v>
      </c>
      <c r="J30" s="24">
        <f t="shared" ref="J30:J33" si="4">PRODUCT(PRODUCT(F30:G30),I30)</f>
        <v>0</v>
      </c>
    </row>
    <row r="31" hidden="1">
      <c r="A31" s="148" t="s">
        <v>148</v>
      </c>
      <c r="B31" s="30" t="s">
        <v>1212</v>
      </c>
      <c r="C31" s="18" t="s">
        <v>150</v>
      </c>
      <c r="D31" s="19" t="s">
        <v>151</v>
      </c>
      <c r="E31" s="20" t="s">
        <v>159</v>
      </c>
      <c r="F31" s="22">
        <v>20.0</v>
      </c>
      <c r="G31" s="29">
        <v>349.0</v>
      </c>
      <c r="H31" s="29" t="s">
        <v>64</v>
      </c>
      <c r="I31" s="25">
        <v>0.0</v>
      </c>
      <c r="J31" s="24">
        <f t="shared" si="4"/>
        <v>0</v>
      </c>
    </row>
    <row r="32" hidden="1">
      <c r="A32" s="148" t="s">
        <v>148</v>
      </c>
      <c r="B32" s="30" t="s">
        <v>1213</v>
      </c>
      <c r="C32" s="18" t="s">
        <v>150</v>
      </c>
      <c r="D32" s="19" t="s">
        <v>151</v>
      </c>
      <c r="E32" s="20" t="s">
        <v>162</v>
      </c>
      <c r="F32" s="22">
        <v>20.0</v>
      </c>
      <c r="G32" s="29">
        <v>365.0</v>
      </c>
      <c r="H32" s="29" t="s">
        <v>64</v>
      </c>
      <c r="I32" s="25">
        <v>0.0</v>
      </c>
      <c r="J32" s="24">
        <f t="shared" si="4"/>
        <v>0</v>
      </c>
    </row>
    <row r="33" hidden="1">
      <c r="A33" s="148" t="s">
        <v>148</v>
      </c>
      <c r="B33" s="32" t="s">
        <v>1214</v>
      </c>
      <c r="C33" s="18" t="s">
        <v>150</v>
      </c>
      <c r="D33" s="19" t="s">
        <v>151</v>
      </c>
      <c r="E33" s="27" t="s">
        <v>173</v>
      </c>
      <c r="F33" s="22">
        <v>20.0</v>
      </c>
      <c r="G33" s="29">
        <v>369.0</v>
      </c>
      <c r="H33" s="29" t="s">
        <v>64</v>
      </c>
      <c r="I33" s="25">
        <v>0.0</v>
      </c>
      <c r="J33" s="24">
        <f t="shared" si="4"/>
        <v>0</v>
      </c>
    </row>
    <row r="34" hidden="1">
      <c r="A34" s="12" t="s">
        <v>178</v>
      </c>
      <c r="B34" s="13"/>
      <c r="C34" s="13"/>
      <c r="D34" s="13"/>
      <c r="E34" s="13"/>
      <c r="F34" s="13"/>
      <c r="G34" s="13"/>
      <c r="H34" s="14"/>
      <c r="I34" s="15"/>
      <c r="J34" s="15"/>
    </row>
    <row r="35" hidden="1">
      <c r="A35" s="37" t="s">
        <v>179</v>
      </c>
      <c r="B35" s="31" t="s">
        <v>180</v>
      </c>
      <c r="C35" s="22" t="s">
        <v>181</v>
      </c>
      <c r="D35" s="22" t="s">
        <v>182</v>
      </c>
      <c r="E35" s="60" t="s">
        <v>183</v>
      </c>
      <c r="F35" s="19">
        <v>20.0</v>
      </c>
      <c r="G35" s="29">
        <v>395.0</v>
      </c>
      <c r="H35" s="76">
        <v>1.0</v>
      </c>
      <c r="I35" s="25">
        <v>0.0</v>
      </c>
      <c r="J35" s="24">
        <f t="shared" ref="J35:J37" si="5">PRODUCT(PRODUCT(F35:G35),I35)</f>
        <v>0</v>
      </c>
    </row>
    <row r="36" hidden="1">
      <c r="A36" s="37" t="s">
        <v>179</v>
      </c>
      <c r="B36" s="31" t="s">
        <v>186</v>
      </c>
      <c r="C36" s="22" t="s">
        <v>181</v>
      </c>
      <c r="D36" s="22" t="s">
        <v>182</v>
      </c>
      <c r="E36" s="60" t="s">
        <v>187</v>
      </c>
      <c r="F36" s="19">
        <v>20.0</v>
      </c>
      <c r="G36" s="29">
        <v>395.0</v>
      </c>
      <c r="H36" s="24" t="s">
        <v>20</v>
      </c>
      <c r="I36" s="25">
        <v>0.0</v>
      </c>
      <c r="J36" s="24">
        <f t="shared" si="5"/>
        <v>0</v>
      </c>
    </row>
    <row r="37" hidden="1">
      <c r="A37" s="37" t="s">
        <v>179</v>
      </c>
      <c r="B37" s="31" t="s">
        <v>202</v>
      </c>
      <c r="C37" s="22" t="s">
        <v>42</v>
      </c>
      <c r="D37" s="22" t="s">
        <v>203</v>
      </c>
      <c r="E37" s="60" t="s">
        <v>204</v>
      </c>
      <c r="F37" s="19">
        <v>20.0</v>
      </c>
      <c r="G37" s="29">
        <v>445.0</v>
      </c>
      <c r="H37" s="76">
        <v>1.0</v>
      </c>
      <c r="I37" s="25">
        <v>0.0</v>
      </c>
      <c r="J37" s="24">
        <f t="shared" si="5"/>
        <v>0</v>
      </c>
    </row>
    <row r="38" hidden="1">
      <c r="A38" s="58" t="s">
        <v>209</v>
      </c>
      <c r="B38" s="13"/>
      <c r="C38" s="13"/>
      <c r="D38" s="13"/>
      <c r="E38" s="13"/>
      <c r="F38" s="13"/>
      <c r="G38" s="13"/>
      <c r="H38" s="14"/>
      <c r="I38" s="59"/>
      <c r="J38" s="59"/>
    </row>
    <row r="39" hidden="1">
      <c r="A39" s="37" t="s">
        <v>210</v>
      </c>
      <c r="B39" s="67" t="s">
        <v>211</v>
      </c>
      <c r="C39" s="68" t="s">
        <v>212</v>
      </c>
      <c r="D39" s="34" t="s">
        <v>213</v>
      </c>
      <c r="E39" s="27" t="s">
        <v>214</v>
      </c>
      <c r="F39" s="22">
        <v>20.0</v>
      </c>
      <c r="G39" s="29">
        <v>349.0</v>
      </c>
      <c r="H39" s="24" t="s">
        <v>20</v>
      </c>
      <c r="I39" s="25">
        <v>0.0</v>
      </c>
      <c r="J39" s="24">
        <f>PRODUCT(PRODUCT(F39:G39),I39)</f>
        <v>0</v>
      </c>
    </row>
    <row r="40" hidden="1">
      <c r="A40" s="58" t="s">
        <v>226</v>
      </c>
      <c r="B40" s="13"/>
      <c r="C40" s="13"/>
      <c r="D40" s="13"/>
      <c r="E40" s="13"/>
      <c r="F40" s="13"/>
      <c r="G40" s="13"/>
      <c r="H40" s="14"/>
      <c r="I40" s="59"/>
      <c r="J40" s="59"/>
    </row>
    <row r="41" hidden="1">
      <c r="A41" s="37" t="s">
        <v>227</v>
      </c>
      <c r="B41" s="31" t="s">
        <v>281</v>
      </c>
      <c r="C41" s="18" t="s">
        <v>282</v>
      </c>
      <c r="D41" s="19" t="s">
        <v>283</v>
      </c>
      <c r="E41" s="20" t="s">
        <v>284</v>
      </c>
      <c r="F41" s="22">
        <v>30.0</v>
      </c>
      <c r="G41" s="29">
        <v>219.0</v>
      </c>
      <c r="H41" s="29" t="s">
        <v>64</v>
      </c>
      <c r="I41" s="25">
        <v>0.0</v>
      </c>
      <c r="J41" s="24">
        <f>PRODUCT(PRODUCT(F41:G41),I41)</f>
        <v>0</v>
      </c>
    </row>
    <row r="42" hidden="1">
      <c r="A42" s="58" t="s">
        <v>313</v>
      </c>
      <c r="B42" s="13"/>
      <c r="C42" s="13"/>
      <c r="D42" s="13"/>
      <c r="E42" s="13"/>
      <c r="F42" s="13"/>
      <c r="G42" s="13"/>
      <c r="H42" s="14"/>
      <c r="I42" s="59"/>
      <c r="J42" s="59"/>
    </row>
    <row r="43" hidden="1">
      <c r="A43" s="37" t="s">
        <v>314</v>
      </c>
      <c r="B43" s="31" t="s">
        <v>315</v>
      </c>
      <c r="C43" s="18" t="s">
        <v>34</v>
      </c>
      <c r="D43" s="19" t="s">
        <v>1215</v>
      </c>
      <c r="E43" s="20" t="s">
        <v>1216</v>
      </c>
      <c r="F43" s="22">
        <v>20.0</v>
      </c>
      <c r="G43" s="29">
        <v>289.0</v>
      </c>
      <c r="H43" s="29" t="s">
        <v>64</v>
      </c>
      <c r="I43" s="25">
        <v>0.0</v>
      </c>
      <c r="J43" s="24">
        <f t="shared" ref="J43:J44" si="6">PRODUCT(PRODUCT(F43:G43),I43)</f>
        <v>0</v>
      </c>
    </row>
    <row r="44">
      <c r="A44" s="37" t="s">
        <v>314</v>
      </c>
      <c r="B44" s="31" t="s">
        <v>352</v>
      </c>
      <c r="C44" s="18" t="s">
        <v>233</v>
      </c>
      <c r="D44" s="19" t="s">
        <v>353</v>
      </c>
      <c r="E44" s="20" t="s">
        <v>354</v>
      </c>
      <c r="F44" s="22">
        <v>20.0</v>
      </c>
      <c r="G44" s="29">
        <v>275.0</v>
      </c>
      <c r="H44" s="29" t="s">
        <v>64</v>
      </c>
      <c r="I44" s="25">
        <v>1.0</v>
      </c>
      <c r="J44" s="24">
        <f t="shared" si="6"/>
        <v>5500</v>
      </c>
    </row>
    <row r="45" hidden="1">
      <c r="A45" s="58" t="s">
        <v>378</v>
      </c>
      <c r="B45" s="13"/>
      <c r="C45" s="13"/>
      <c r="D45" s="13"/>
      <c r="E45" s="13"/>
      <c r="F45" s="13"/>
      <c r="G45" s="13"/>
      <c r="H45" s="14"/>
      <c r="I45" s="59"/>
      <c r="J45" s="59"/>
    </row>
    <row r="46" hidden="1">
      <c r="A46" s="37" t="s">
        <v>379</v>
      </c>
      <c r="B46" s="30" t="s">
        <v>394</v>
      </c>
      <c r="C46" s="79" t="s">
        <v>395</v>
      </c>
      <c r="D46" s="79" t="s">
        <v>381</v>
      </c>
      <c r="E46" s="80" t="s">
        <v>396</v>
      </c>
      <c r="F46" s="62">
        <v>20.0</v>
      </c>
      <c r="G46" s="44">
        <v>459.0</v>
      </c>
      <c r="H46" s="93" t="s">
        <v>64</v>
      </c>
      <c r="I46" s="25">
        <v>0.0</v>
      </c>
      <c r="J46" s="24">
        <f>PRODUCT(PRODUCT(F46:G46),I46)</f>
        <v>0</v>
      </c>
    </row>
    <row r="47" hidden="1">
      <c r="A47" s="58" t="s">
        <v>421</v>
      </c>
      <c r="B47" s="13"/>
      <c r="C47" s="13"/>
      <c r="D47" s="13"/>
      <c r="E47" s="13"/>
      <c r="F47" s="13"/>
      <c r="G47" s="13"/>
      <c r="H47" s="14"/>
      <c r="I47" s="59"/>
      <c r="J47" s="59"/>
    </row>
    <row r="48" hidden="1">
      <c r="A48" s="37" t="s">
        <v>422</v>
      </c>
      <c r="B48" s="30" t="s">
        <v>423</v>
      </c>
      <c r="C48" s="19" t="s">
        <v>424</v>
      </c>
      <c r="D48" s="19" t="s">
        <v>425</v>
      </c>
      <c r="E48" s="20" t="s">
        <v>426</v>
      </c>
      <c r="F48" s="22">
        <v>30.0</v>
      </c>
      <c r="G48" s="29">
        <v>295.0</v>
      </c>
      <c r="H48" s="76">
        <v>1.0</v>
      </c>
      <c r="I48" s="25">
        <v>0.0</v>
      </c>
      <c r="J48" s="24">
        <f t="shared" ref="J48:J58" si="7">PRODUCT(PRODUCT(F48:G48),I48)</f>
        <v>0</v>
      </c>
    </row>
    <row r="49" hidden="1">
      <c r="A49" s="37" t="s">
        <v>422</v>
      </c>
      <c r="B49" s="28" t="s">
        <v>1217</v>
      </c>
      <c r="C49" s="18" t="s">
        <v>54</v>
      </c>
      <c r="D49" s="19" t="s">
        <v>428</v>
      </c>
      <c r="E49" s="20" t="s">
        <v>429</v>
      </c>
      <c r="F49" s="22">
        <v>30.0</v>
      </c>
      <c r="G49" s="29">
        <v>295.0</v>
      </c>
      <c r="H49" s="29" t="s">
        <v>64</v>
      </c>
      <c r="I49" s="25">
        <v>0.0</v>
      </c>
      <c r="J49" s="24">
        <f t="shared" si="7"/>
        <v>0</v>
      </c>
    </row>
    <row r="50" hidden="1">
      <c r="A50" s="37" t="s">
        <v>422</v>
      </c>
      <c r="B50" s="30" t="s">
        <v>1218</v>
      </c>
      <c r="C50" s="18" t="s">
        <v>1219</v>
      </c>
      <c r="D50" s="19" t="s">
        <v>1220</v>
      </c>
      <c r="E50" s="20" t="s">
        <v>1221</v>
      </c>
      <c r="F50" s="22">
        <v>20.0</v>
      </c>
      <c r="G50" s="29">
        <v>459.0</v>
      </c>
      <c r="H50" s="76">
        <v>1.0</v>
      </c>
      <c r="I50" s="25">
        <v>0.0</v>
      </c>
      <c r="J50" s="24">
        <f t="shared" si="7"/>
        <v>0</v>
      </c>
    </row>
    <row r="51" hidden="1">
      <c r="A51" s="37" t="s">
        <v>422</v>
      </c>
      <c r="B51" s="30" t="s">
        <v>437</v>
      </c>
      <c r="C51" s="18" t="s">
        <v>193</v>
      </c>
      <c r="D51" s="19" t="s">
        <v>194</v>
      </c>
      <c r="E51" s="20" t="s">
        <v>438</v>
      </c>
      <c r="F51" s="22">
        <v>30.0</v>
      </c>
      <c r="G51" s="29">
        <v>409.0</v>
      </c>
      <c r="H51" s="24" t="s">
        <v>20</v>
      </c>
      <c r="I51" s="25">
        <v>0.0</v>
      </c>
      <c r="J51" s="24">
        <f t="shared" si="7"/>
        <v>0</v>
      </c>
    </row>
    <row r="52" hidden="1">
      <c r="A52" s="37" t="s">
        <v>422</v>
      </c>
      <c r="B52" s="30" t="s">
        <v>1222</v>
      </c>
      <c r="C52" s="18" t="s">
        <v>1223</v>
      </c>
      <c r="D52" s="19" t="s">
        <v>1224</v>
      </c>
      <c r="E52" s="20" t="s">
        <v>1225</v>
      </c>
      <c r="F52" s="22">
        <v>20.0</v>
      </c>
      <c r="G52" s="29">
        <v>389.0</v>
      </c>
      <c r="H52" s="48">
        <v>1.0</v>
      </c>
      <c r="I52" s="25">
        <v>0.0</v>
      </c>
      <c r="J52" s="24">
        <f t="shared" si="7"/>
        <v>0</v>
      </c>
    </row>
    <row r="53" hidden="1">
      <c r="A53" s="37" t="s">
        <v>422</v>
      </c>
      <c r="B53" s="30" t="s">
        <v>1226</v>
      </c>
      <c r="C53" s="19" t="s">
        <v>42</v>
      </c>
      <c r="D53" s="19" t="s">
        <v>1227</v>
      </c>
      <c r="E53" s="20" t="s">
        <v>1228</v>
      </c>
      <c r="F53" s="22">
        <v>20.0</v>
      </c>
      <c r="G53" s="29">
        <v>375.0</v>
      </c>
      <c r="H53" s="29" t="s">
        <v>64</v>
      </c>
      <c r="I53" s="25">
        <v>0.0</v>
      </c>
      <c r="J53" s="24">
        <f t="shared" si="7"/>
        <v>0</v>
      </c>
    </row>
    <row r="54" hidden="1">
      <c r="A54" s="37" t="s">
        <v>422</v>
      </c>
      <c r="B54" s="30" t="s">
        <v>1229</v>
      </c>
      <c r="C54" s="19" t="s">
        <v>286</v>
      </c>
      <c r="D54" s="19" t="s">
        <v>1230</v>
      </c>
      <c r="E54" s="20" t="s">
        <v>1231</v>
      </c>
      <c r="F54" s="22">
        <v>20.0</v>
      </c>
      <c r="G54" s="29">
        <v>475.0</v>
      </c>
      <c r="H54" s="29" t="s">
        <v>64</v>
      </c>
      <c r="I54" s="25">
        <v>0.0</v>
      </c>
      <c r="J54" s="24">
        <f t="shared" si="7"/>
        <v>0</v>
      </c>
    </row>
    <row r="55" hidden="1">
      <c r="A55" s="37" t="s">
        <v>422</v>
      </c>
      <c r="B55" s="30" t="s">
        <v>447</v>
      </c>
      <c r="C55" s="18" t="s">
        <v>448</v>
      </c>
      <c r="D55" s="19" t="s">
        <v>449</v>
      </c>
      <c r="E55" s="20" t="s">
        <v>450</v>
      </c>
      <c r="F55" s="22">
        <v>20.0</v>
      </c>
      <c r="G55" s="29">
        <v>469.0</v>
      </c>
      <c r="H55" s="24" t="s">
        <v>20</v>
      </c>
      <c r="I55" s="25">
        <v>0.0</v>
      </c>
      <c r="J55" s="24">
        <f t="shared" si="7"/>
        <v>0</v>
      </c>
    </row>
    <row r="56" hidden="1">
      <c r="A56" s="37" t="s">
        <v>422</v>
      </c>
      <c r="B56" s="30" t="s">
        <v>1232</v>
      </c>
      <c r="C56" s="18" t="s">
        <v>1233</v>
      </c>
      <c r="D56" s="19" t="s">
        <v>1234</v>
      </c>
      <c r="E56" s="20" t="s">
        <v>1235</v>
      </c>
      <c r="F56" s="22">
        <v>20.0</v>
      </c>
      <c r="G56" s="29">
        <v>299.0</v>
      </c>
      <c r="H56" s="29" t="s">
        <v>64</v>
      </c>
      <c r="I56" s="25">
        <v>0.0</v>
      </c>
      <c r="J56" s="24">
        <f t="shared" si="7"/>
        <v>0</v>
      </c>
    </row>
    <row r="57" hidden="1">
      <c r="A57" s="37" t="s">
        <v>422</v>
      </c>
      <c r="B57" s="30" t="s">
        <v>459</v>
      </c>
      <c r="C57" s="18" t="s">
        <v>460</v>
      </c>
      <c r="D57" s="19" t="s">
        <v>461</v>
      </c>
      <c r="E57" s="20" t="s">
        <v>1236</v>
      </c>
      <c r="F57" s="22">
        <v>20.0</v>
      </c>
      <c r="G57" s="29">
        <v>335.0</v>
      </c>
      <c r="H57" s="24" t="s">
        <v>20</v>
      </c>
      <c r="I57" s="25">
        <v>0.0</v>
      </c>
      <c r="J57" s="24">
        <f t="shared" si="7"/>
        <v>0</v>
      </c>
    </row>
    <row r="58" hidden="1">
      <c r="A58" s="37" t="s">
        <v>422</v>
      </c>
      <c r="B58" s="28" t="s">
        <v>1237</v>
      </c>
      <c r="C58" s="18" t="s">
        <v>1238</v>
      </c>
      <c r="D58" s="19" t="s">
        <v>1239</v>
      </c>
      <c r="E58" s="82" t="s">
        <v>1240</v>
      </c>
      <c r="F58" s="22">
        <v>20.0</v>
      </c>
      <c r="G58" s="29">
        <v>475.0</v>
      </c>
      <c r="H58" s="48">
        <v>1.0</v>
      </c>
      <c r="I58" s="25">
        <v>0.0</v>
      </c>
      <c r="J58" s="24">
        <f t="shared" si="7"/>
        <v>0</v>
      </c>
    </row>
    <row r="59" hidden="1">
      <c r="A59" s="89" t="s">
        <v>1241</v>
      </c>
      <c r="B59" s="13"/>
      <c r="C59" s="13"/>
      <c r="D59" s="13"/>
      <c r="E59" s="13"/>
      <c r="F59" s="13"/>
      <c r="G59" s="13"/>
      <c r="H59" s="14"/>
      <c r="I59" s="90"/>
      <c r="J59" s="90"/>
    </row>
    <row r="60" hidden="1">
      <c r="A60" s="37" t="s">
        <v>1242</v>
      </c>
      <c r="B60" s="85" t="s">
        <v>1243</v>
      </c>
      <c r="C60" s="62" t="s">
        <v>931</v>
      </c>
      <c r="D60" s="62" t="s">
        <v>1244</v>
      </c>
      <c r="E60" s="149" t="s">
        <v>1245</v>
      </c>
      <c r="F60" s="46">
        <v>20.0</v>
      </c>
      <c r="G60" s="44">
        <v>319.0</v>
      </c>
      <c r="H60" s="44" t="s">
        <v>64</v>
      </c>
      <c r="I60" s="25">
        <v>0.0</v>
      </c>
      <c r="J60" s="24">
        <f t="shared" ref="J60:J63" si="8">PRODUCT(PRODUCT(F60:G60),I60)</f>
        <v>0</v>
      </c>
    </row>
    <row r="61" hidden="1">
      <c r="A61" s="37" t="s">
        <v>1242</v>
      </c>
      <c r="B61" s="85" t="s">
        <v>1246</v>
      </c>
      <c r="C61" s="21" t="s">
        <v>1247</v>
      </c>
      <c r="D61" s="21" t="s">
        <v>1248</v>
      </c>
      <c r="E61" s="20" t="s">
        <v>1249</v>
      </c>
      <c r="F61" s="22">
        <v>30.0</v>
      </c>
      <c r="G61" s="29">
        <v>319.0</v>
      </c>
      <c r="H61" s="44" t="s">
        <v>64</v>
      </c>
      <c r="I61" s="25">
        <v>0.0</v>
      </c>
      <c r="J61" s="24">
        <f t="shared" si="8"/>
        <v>0</v>
      </c>
    </row>
    <row r="62" hidden="1">
      <c r="A62" s="37" t="s">
        <v>1242</v>
      </c>
      <c r="B62" s="83" t="s">
        <v>1250</v>
      </c>
      <c r="C62" s="150" t="s">
        <v>1251</v>
      </c>
      <c r="D62" s="62" t="s">
        <v>1252</v>
      </c>
      <c r="E62" s="80" t="s">
        <v>1253</v>
      </c>
      <c r="F62" s="62">
        <v>30.0</v>
      </c>
      <c r="G62" s="44">
        <v>319.0</v>
      </c>
      <c r="H62" s="48">
        <v>1.0</v>
      </c>
      <c r="I62" s="25">
        <v>0.0</v>
      </c>
      <c r="J62" s="24">
        <f t="shared" si="8"/>
        <v>0</v>
      </c>
    </row>
    <row r="63" hidden="1">
      <c r="A63" s="37" t="s">
        <v>1242</v>
      </c>
      <c r="B63" s="83" t="s">
        <v>1254</v>
      </c>
      <c r="C63" s="21" t="s">
        <v>1255</v>
      </c>
      <c r="D63" s="22" t="s">
        <v>1256</v>
      </c>
      <c r="E63" s="20" t="s">
        <v>1257</v>
      </c>
      <c r="F63" s="22">
        <v>30.0</v>
      </c>
      <c r="G63" s="29">
        <v>319.0</v>
      </c>
      <c r="H63" s="44" t="s">
        <v>64</v>
      </c>
      <c r="I63" s="25">
        <v>0.0</v>
      </c>
      <c r="J63" s="24">
        <f t="shared" si="8"/>
        <v>0</v>
      </c>
    </row>
    <row r="64" hidden="1">
      <c r="A64" s="12" t="s">
        <v>476</v>
      </c>
      <c r="B64" s="13"/>
      <c r="C64" s="13"/>
      <c r="D64" s="13"/>
      <c r="E64" s="13"/>
      <c r="F64" s="13"/>
      <c r="G64" s="13"/>
      <c r="H64" s="14"/>
      <c r="I64" s="15"/>
      <c r="J64" s="15"/>
    </row>
    <row r="65" hidden="1">
      <c r="A65" s="37" t="s">
        <v>477</v>
      </c>
      <c r="B65" s="85" t="s">
        <v>481</v>
      </c>
      <c r="C65" s="21" t="s">
        <v>482</v>
      </c>
      <c r="D65" s="22" t="s">
        <v>483</v>
      </c>
      <c r="E65" s="20" t="s">
        <v>484</v>
      </c>
      <c r="F65" s="22">
        <v>20.0</v>
      </c>
      <c r="G65" s="29">
        <v>359.0</v>
      </c>
      <c r="H65" s="76">
        <v>1.0</v>
      </c>
      <c r="I65" s="25">
        <v>0.0</v>
      </c>
      <c r="J65" s="24">
        <f t="shared" ref="J65:J67" si="9">PRODUCT(PRODUCT(F65:G65),I65)</f>
        <v>0</v>
      </c>
    </row>
    <row r="66" hidden="1">
      <c r="A66" s="37" t="s">
        <v>477</v>
      </c>
      <c r="B66" s="85" t="s">
        <v>492</v>
      </c>
      <c r="C66" s="21" t="s">
        <v>42</v>
      </c>
      <c r="D66" s="22" t="s">
        <v>493</v>
      </c>
      <c r="E66" s="20" t="s">
        <v>494</v>
      </c>
      <c r="F66" s="22">
        <v>20.0</v>
      </c>
      <c r="G66" s="29">
        <v>375.0</v>
      </c>
      <c r="H66" s="29" t="s">
        <v>64</v>
      </c>
      <c r="I66" s="25">
        <v>0.0</v>
      </c>
      <c r="J66" s="24">
        <f t="shared" si="9"/>
        <v>0</v>
      </c>
    </row>
    <row r="67" hidden="1">
      <c r="A67" s="37" t="s">
        <v>477</v>
      </c>
      <c r="B67" s="85" t="s">
        <v>506</v>
      </c>
      <c r="C67" s="21" t="s">
        <v>507</v>
      </c>
      <c r="D67" s="22" t="s">
        <v>508</v>
      </c>
      <c r="E67" s="20" t="s">
        <v>509</v>
      </c>
      <c r="F67" s="22">
        <v>20.0</v>
      </c>
      <c r="G67" s="29">
        <v>359.0</v>
      </c>
      <c r="H67" s="29" t="s">
        <v>64</v>
      </c>
      <c r="I67" s="25">
        <v>0.0</v>
      </c>
      <c r="J67" s="24">
        <f t="shared" si="9"/>
        <v>0</v>
      </c>
    </row>
    <row r="68" hidden="1">
      <c r="A68" s="143" t="s">
        <v>513</v>
      </c>
      <c r="B68" s="13"/>
      <c r="C68" s="13"/>
      <c r="D68" s="13"/>
      <c r="E68" s="13"/>
      <c r="F68" s="13"/>
      <c r="G68" s="13"/>
      <c r="H68" s="14"/>
      <c r="I68" s="144"/>
      <c r="J68" s="144"/>
    </row>
    <row r="69" hidden="1">
      <c r="A69" s="37" t="s">
        <v>514</v>
      </c>
      <c r="B69" s="83" t="s">
        <v>515</v>
      </c>
      <c r="C69" s="22" t="s">
        <v>516</v>
      </c>
      <c r="D69" s="22" t="s">
        <v>517</v>
      </c>
      <c r="E69" s="20" t="s">
        <v>518</v>
      </c>
      <c r="F69" s="22">
        <v>20.0</v>
      </c>
      <c r="G69" s="29">
        <v>449.0</v>
      </c>
      <c r="H69" s="29" t="s">
        <v>64</v>
      </c>
      <c r="I69" s="25">
        <v>0.0</v>
      </c>
      <c r="J69" s="24">
        <f t="shared" ref="J69:J70" si="10">PRODUCT(PRODUCT(F69:G69),I69)</f>
        <v>0</v>
      </c>
    </row>
    <row r="70" hidden="1">
      <c r="A70" s="37" t="s">
        <v>514</v>
      </c>
      <c r="B70" s="83" t="s">
        <v>1258</v>
      </c>
      <c r="C70" s="22" t="s">
        <v>233</v>
      </c>
      <c r="D70" s="22" t="s">
        <v>90</v>
      </c>
      <c r="E70" s="20" t="s">
        <v>530</v>
      </c>
      <c r="F70" s="22">
        <v>20.0</v>
      </c>
      <c r="G70" s="29">
        <v>375.0</v>
      </c>
      <c r="H70" s="29" t="s">
        <v>64</v>
      </c>
      <c r="I70" s="25">
        <v>0.0</v>
      </c>
      <c r="J70" s="24">
        <f t="shared" si="10"/>
        <v>0</v>
      </c>
    </row>
    <row r="71" hidden="1">
      <c r="A71" s="89" t="s">
        <v>554</v>
      </c>
      <c r="B71" s="13"/>
      <c r="C71" s="13"/>
      <c r="D71" s="13"/>
      <c r="E71" s="13"/>
      <c r="F71" s="13"/>
      <c r="G71" s="13"/>
      <c r="H71" s="14"/>
      <c r="I71" s="90"/>
      <c r="J71" s="90"/>
    </row>
    <row r="72" hidden="1">
      <c r="A72" s="37" t="s">
        <v>555</v>
      </c>
      <c r="B72" s="83" t="s">
        <v>556</v>
      </c>
      <c r="C72" s="21" t="s">
        <v>557</v>
      </c>
      <c r="D72" s="22" t="s">
        <v>558</v>
      </c>
      <c r="E72" s="84" t="s">
        <v>559</v>
      </c>
      <c r="F72" s="22">
        <v>20.0</v>
      </c>
      <c r="G72" s="29">
        <v>379.0</v>
      </c>
      <c r="H72" s="29" t="s">
        <v>64</v>
      </c>
      <c r="I72" s="25">
        <v>0.0</v>
      </c>
      <c r="J72" s="24">
        <f t="shared" ref="J72:J81" si="11">PRODUCT(PRODUCT(F72:G72),I72)</f>
        <v>0</v>
      </c>
    </row>
    <row r="73" hidden="1">
      <c r="A73" s="37" t="s">
        <v>555</v>
      </c>
      <c r="B73" s="83" t="s">
        <v>560</v>
      </c>
      <c r="C73" s="21" t="s">
        <v>22</v>
      </c>
      <c r="D73" s="22" t="s">
        <v>561</v>
      </c>
      <c r="E73" s="84" t="s">
        <v>562</v>
      </c>
      <c r="F73" s="22">
        <v>20.0</v>
      </c>
      <c r="G73" s="29">
        <v>349.0</v>
      </c>
      <c r="H73" s="24" t="s">
        <v>20</v>
      </c>
      <c r="I73" s="25">
        <v>0.0</v>
      </c>
      <c r="J73" s="24">
        <f t="shared" si="11"/>
        <v>0</v>
      </c>
    </row>
    <row r="74" hidden="1">
      <c r="A74" s="37" t="s">
        <v>555</v>
      </c>
      <c r="B74" s="83" t="s">
        <v>1259</v>
      </c>
      <c r="C74" s="21" t="s">
        <v>42</v>
      </c>
      <c r="D74" s="22" t="s">
        <v>230</v>
      </c>
      <c r="E74" s="84" t="s">
        <v>1260</v>
      </c>
      <c r="F74" s="22">
        <v>20.0</v>
      </c>
      <c r="G74" s="29">
        <v>365.0</v>
      </c>
      <c r="H74" s="29" t="s">
        <v>64</v>
      </c>
      <c r="I74" s="25">
        <v>0.0</v>
      </c>
      <c r="J74" s="24">
        <f t="shared" si="11"/>
        <v>0</v>
      </c>
    </row>
    <row r="75" hidden="1">
      <c r="A75" s="37" t="s">
        <v>555</v>
      </c>
      <c r="B75" s="83" t="s">
        <v>1261</v>
      </c>
      <c r="C75" s="22" t="s">
        <v>34</v>
      </c>
      <c r="D75" s="22" t="s">
        <v>1262</v>
      </c>
      <c r="E75" s="84" t="s">
        <v>1263</v>
      </c>
      <c r="F75" s="22">
        <v>20.0</v>
      </c>
      <c r="G75" s="29">
        <v>339.0</v>
      </c>
      <c r="H75" s="48">
        <v>1.0</v>
      </c>
      <c r="I75" s="25">
        <v>0.0</v>
      </c>
      <c r="J75" s="24">
        <f t="shared" si="11"/>
        <v>0</v>
      </c>
    </row>
    <row r="76" hidden="1">
      <c r="A76" s="37" t="s">
        <v>555</v>
      </c>
      <c r="B76" s="83" t="s">
        <v>563</v>
      </c>
      <c r="C76" s="21" t="s">
        <v>564</v>
      </c>
      <c r="D76" s="22" t="s">
        <v>565</v>
      </c>
      <c r="E76" s="84" t="s">
        <v>566</v>
      </c>
      <c r="F76" s="22">
        <v>20.0</v>
      </c>
      <c r="G76" s="29">
        <v>295.0</v>
      </c>
      <c r="H76" s="29" t="s">
        <v>64</v>
      </c>
      <c r="I76" s="25">
        <v>0.0</v>
      </c>
      <c r="J76" s="24">
        <f t="shared" si="11"/>
        <v>0</v>
      </c>
    </row>
    <row r="77" hidden="1">
      <c r="A77" s="37" t="s">
        <v>555</v>
      </c>
      <c r="B77" s="151" t="s">
        <v>1264</v>
      </c>
      <c r="C77" s="62" t="s">
        <v>42</v>
      </c>
      <c r="D77" s="62" t="s">
        <v>90</v>
      </c>
      <c r="E77" s="91" t="s">
        <v>1265</v>
      </c>
      <c r="F77" s="62">
        <v>20.0</v>
      </c>
      <c r="G77" s="44">
        <v>349.0</v>
      </c>
      <c r="H77" s="48">
        <v>1.0</v>
      </c>
      <c r="I77" s="25">
        <v>0.0</v>
      </c>
      <c r="J77" s="24">
        <f t="shared" si="11"/>
        <v>0</v>
      </c>
    </row>
    <row r="78" hidden="1">
      <c r="A78" s="37" t="s">
        <v>555</v>
      </c>
      <c r="B78" s="83" t="s">
        <v>1266</v>
      </c>
      <c r="C78" s="22" t="s">
        <v>1181</v>
      </c>
      <c r="D78" s="22" t="s">
        <v>1267</v>
      </c>
      <c r="E78" s="84" t="s">
        <v>1268</v>
      </c>
      <c r="F78" s="22">
        <v>20.0</v>
      </c>
      <c r="G78" s="29">
        <v>409.0</v>
      </c>
      <c r="H78" s="76">
        <v>1.0</v>
      </c>
      <c r="I78" s="25">
        <v>0.0</v>
      </c>
      <c r="J78" s="24">
        <f t="shared" si="11"/>
        <v>0</v>
      </c>
    </row>
    <row r="79" hidden="1">
      <c r="A79" s="37" t="s">
        <v>555</v>
      </c>
      <c r="B79" s="83" t="s">
        <v>567</v>
      </c>
      <c r="C79" s="21" t="s">
        <v>568</v>
      </c>
      <c r="D79" s="22" t="s">
        <v>182</v>
      </c>
      <c r="E79" s="84" t="s">
        <v>569</v>
      </c>
      <c r="F79" s="22">
        <v>20.0</v>
      </c>
      <c r="G79" s="29">
        <v>329.0</v>
      </c>
      <c r="H79" s="29" t="s">
        <v>64</v>
      </c>
      <c r="I79" s="25">
        <v>0.0</v>
      </c>
      <c r="J79" s="24">
        <f t="shared" si="11"/>
        <v>0</v>
      </c>
    </row>
    <row r="80" hidden="1">
      <c r="A80" s="37" t="s">
        <v>555</v>
      </c>
      <c r="B80" s="83" t="s">
        <v>1269</v>
      </c>
      <c r="C80" s="62" t="s">
        <v>698</v>
      </c>
      <c r="D80" s="62" t="s">
        <v>1270</v>
      </c>
      <c r="E80" s="91" t="s">
        <v>1271</v>
      </c>
      <c r="F80" s="62">
        <v>20.0</v>
      </c>
      <c r="G80" s="44">
        <v>479.0</v>
      </c>
      <c r="H80" s="29" t="s">
        <v>64</v>
      </c>
      <c r="I80" s="25">
        <v>0.0</v>
      </c>
      <c r="J80" s="24">
        <f t="shared" si="11"/>
        <v>0</v>
      </c>
    </row>
    <row r="81" hidden="1">
      <c r="A81" s="37" t="s">
        <v>555</v>
      </c>
      <c r="B81" s="83" t="s">
        <v>1272</v>
      </c>
      <c r="C81" s="21" t="s">
        <v>15</v>
      </c>
      <c r="D81" s="22" t="s">
        <v>151</v>
      </c>
      <c r="E81" s="152" t="s">
        <v>1273</v>
      </c>
      <c r="F81" s="22">
        <v>20.0</v>
      </c>
      <c r="G81" s="29">
        <v>369.0</v>
      </c>
      <c r="H81" s="29" t="s">
        <v>64</v>
      </c>
      <c r="I81" s="25">
        <v>0.0</v>
      </c>
      <c r="J81" s="24">
        <f t="shared" si="11"/>
        <v>0</v>
      </c>
    </row>
    <row r="82" hidden="1">
      <c r="A82" s="89" t="s">
        <v>574</v>
      </c>
      <c r="B82" s="13"/>
      <c r="C82" s="13"/>
      <c r="D82" s="13"/>
      <c r="E82" s="13"/>
      <c r="F82" s="13"/>
      <c r="G82" s="13"/>
      <c r="H82" s="14"/>
      <c r="I82" s="90"/>
      <c r="J82" s="90"/>
    </row>
    <row r="83" hidden="1">
      <c r="A83" s="153" t="s">
        <v>575</v>
      </c>
      <c r="B83" s="85" t="s">
        <v>599</v>
      </c>
      <c r="C83" s="46" t="s">
        <v>600</v>
      </c>
      <c r="D83" s="62" t="s">
        <v>601</v>
      </c>
      <c r="E83" s="154" t="s">
        <v>602</v>
      </c>
      <c r="F83" s="150">
        <v>20.0</v>
      </c>
      <c r="G83" s="155">
        <v>249.0</v>
      </c>
      <c r="H83" s="44" t="s">
        <v>64</v>
      </c>
      <c r="I83" s="25">
        <v>0.0</v>
      </c>
      <c r="J83" s="24">
        <f>PRODUCT(PRODUCT(F83:G83),I83)</f>
        <v>0</v>
      </c>
    </row>
    <row r="84" hidden="1">
      <c r="A84" s="58" t="s">
        <v>613</v>
      </c>
      <c r="B84" s="13"/>
      <c r="C84" s="13"/>
      <c r="D84" s="13"/>
      <c r="E84" s="13"/>
      <c r="F84" s="13"/>
      <c r="G84" s="13"/>
      <c r="H84" s="14"/>
      <c r="I84" s="59"/>
      <c r="J84" s="59"/>
    </row>
    <row r="85" hidden="1">
      <c r="A85" s="37" t="s">
        <v>614</v>
      </c>
      <c r="B85" s="32" t="s">
        <v>628</v>
      </c>
      <c r="C85" s="34" t="s">
        <v>522</v>
      </c>
      <c r="D85" s="34" t="s">
        <v>629</v>
      </c>
      <c r="E85" s="27" t="s">
        <v>630</v>
      </c>
      <c r="F85" s="62">
        <v>20.0</v>
      </c>
      <c r="G85" s="44">
        <v>559.0</v>
      </c>
      <c r="H85" s="156" t="s">
        <v>20</v>
      </c>
      <c r="I85" s="25">
        <v>0.0</v>
      </c>
      <c r="J85" s="24">
        <f>PRODUCT(PRODUCT(F85:G85),I85)</f>
        <v>0</v>
      </c>
    </row>
    <row r="86" hidden="1">
      <c r="A86" s="58" t="s">
        <v>648</v>
      </c>
      <c r="B86" s="13"/>
      <c r="C86" s="13"/>
      <c r="D86" s="13"/>
      <c r="E86" s="13"/>
      <c r="F86" s="13"/>
      <c r="G86" s="13"/>
      <c r="H86" s="14"/>
      <c r="I86" s="59"/>
      <c r="J86" s="59"/>
    </row>
    <row r="87" hidden="1">
      <c r="A87" s="37" t="s">
        <v>649</v>
      </c>
      <c r="B87" s="32" t="s">
        <v>654</v>
      </c>
      <c r="C87" s="34" t="s">
        <v>307</v>
      </c>
      <c r="D87" s="34" t="s">
        <v>655</v>
      </c>
      <c r="E87" s="27" t="s">
        <v>656</v>
      </c>
      <c r="F87" s="150">
        <v>20.0</v>
      </c>
      <c r="G87" s="52">
        <v>279.0</v>
      </c>
      <c r="H87" s="44" t="s">
        <v>64</v>
      </c>
      <c r="I87" s="25">
        <v>0.0</v>
      </c>
      <c r="J87" s="24">
        <f t="shared" ref="J87:J89" si="12">PRODUCT(PRODUCT(F87:G87),I87)</f>
        <v>0</v>
      </c>
    </row>
    <row r="88" hidden="1">
      <c r="A88" s="37" t="s">
        <v>649</v>
      </c>
      <c r="B88" s="32" t="s">
        <v>1274</v>
      </c>
      <c r="C88" s="34" t="s">
        <v>719</v>
      </c>
      <c r="D88" s="34" t="s">
        <v>1275</v>
      </c>
      <c r="E88" s="27" t="s">
        <v>1276</v>
      </c>
      <c r="F88" s="150">
        <v>20.0</v>
      </c>
      <c r="G88" s="52">
        <v>259.0</v>
      </c>
      <c r="H88" s="44" t="s">
        <v>64</v>
      </c>
      <c r="I88" s="25">
        <v>0.0</v>
      </c>
      <c r="J88" s="24">
        <f t="shared" si="12"/>
        <v>0</v>
      </c>
    </row>
    <row r="89" hidden="1">
      <c r="A89" s="37" t="s">
        <v>649</v>
      </c>
      <c r="B89" s="32" t="s">
        <v>660</v>
      </c>
      <c r="C89" s="34" t="s">
        <v>42</v>
      </c>
      <c r="D89" s="34" t="s">
        <v>661</v>
      </c>
      <c r="E89" s="27" t="s">
        <v>662</v>
      </c>
      <c r="F89" s="150">
        <v>20.0</v>
      </c>
      <c r="G89" s="52">
        <v>319.0</v>
      </c>
      <c r="H89" s="44" t="s">
        <v>64</v>
      </c>
      <c r="I89" s="25">
        <v>0.0</v>
      </c>
      <c r="J89" s="24">
        <f t="shared" si="12"/>
        <v>0</v>
      </c>
    </row>
    <row r="90" hidden="1">
      <c r="A90" s="12" t="s">
        <v>676</v>
      </c>
      <c r="B90" s="13"/>
      <c r="C90" s="13"/>
      <c r="D90" s="13"/>
      <c r="E90" s="13"/>
      <c r="F90" s="13"/>
      <c r="G90" s="13"/>
      <c r="H90" s="14"/>
      <c r="I90" s="15"/>
      <c r="J90" s="15"/>
    </row>
    <row r="91" hidden="1">
      <c r="A91" s="157" t="s">
        <v>677</v>
      </c>
      <c r="B91" s="17" t="s">
        <v>678</v>
      </c>
      <c r="C91" s="19" t="s">
        <v>15</v>
      </c>
      <c r="D91" s="19" t="s">
        <v>679</v>
      </c>
      <c r="E91" s="39" t="s">
        <v>680</v>
      </c>
      <c r="F91" s="22">
        <v>20.0</v>
      </c>
      <c r="G91" s="92">
        <v>239.0</v>
      </c>
      <c r="H91" s="29" t="s">
        <v>64</v>
      </c>
      <c r="I91" s="25">
        <v>0.0</v>
      </c>
      <c r="J91" s="24">
        <f t="shared" ref="J91:J96" si="13">PRODUCT(PRODUCT(F91:G91),I91)</f>
        <v>0</v>
      </c>
    </row>
    <row r="92" hidden="1">
      <c r="A92" s="157" t="s">
        <v>677</v>
      </c>
      <c r="B92" s="31" t="s">
        <v>42</v>
      </c>
      <c r="C92" s="19" t="s">
        <v>42</v>
      </c>
      <c r="D92" s="19" t="s">
        <v>701</v>
      </c>
      <c r="E92" s="39" t="s">
        <v>702</v>
      </c>
      <c r="F92" s="22">
        <v>20.0</v>
      </c>
      <c r="G92" s="29">
        <v>299.0</v>
      </c>
      <c r="H92" s="29" t="s">
        <v>64</v>
      </c>
      <c r="I92" s="25">
        <v>0.0</v>
      </c>
      <c r="J92" s="24">
        <f t="shared" si="13"/>
        <v>0</v>
      </c>
    </row>
    <row r="93" hidden="1">
      <c r="A93" s="157" t="s">
        <v>677</v>
      </c>
      <c r="B93" s="83" t="s">
        <v>46</v>
      </c>
      <c r="C93" s="21" t="s">
        <v>46</v>
      </c>
      <c r="D93" s="22" t="s">
        <v>270</v>
      </c>
      <c r="E93" s="84" t="s">
        <v>1277</v>
      </c>
      <c r="F93" s="22">
        <v>20.0</v>
      </c>
      <c r="G93" s="29">
        <v>215.0</v>
      </c>
      <c r="H93" s="29" t="s">
        <v>64</v>
      </c>
      <c r="I93" s="25">
        <v>0.0</v>
      </c>
      <c r="J93" s="24">
        <f t="shared" si="13"/>
        <v>0</v>
      </c>
    </row>
    <row r="94" hidden="1">
      <c r="A94" s="157" t="s">
        <v>677</v>
      </c>
      <c r="B94" s="31" t="s">
        <v>697</v>
      </c>
      <c r="C94" s="19" t="s">
        <v>698</v>
      </c>
      <c r="D94" s="19" t="s">
        <v>699</v>
      </c>
      <c r="E94" s="39" t="s">
        <v>700</v>
      </c>
      <c r="F94" s="22">
        <v>20.0</v>
      </c>
      <c r="G94" s="29">
        <v>325.0</v>
      </c>
      <c r="H94" s="29" t="s">
        <v>64</v>
      </c>
      <c r="I94" s="25">
        <v>0.0</v>
      </c>
      <c r="J94" s="24">
        <f t="shared" si="13"/>
        <v>0</v>
      </c>
    </row>
    <row r="95" hidden="1">
      <c r="A95" s="157" t="s">
        <v>677</v>
      </c>
      <c r="B95" s="31" t="s">
        <v>703</v>
      </c>
      <c r="C95" s="19" t="s">
        <v>115</v>
      </c>
      <c r="D95" s="19" t="s">
        <v>704</v>
      </c>
      <c r="E95" s="39" t="s">
        <v>705</v>
      </c>
      <c r="F95" s="22">
        <v>20.0</v>
      </c>
      <c r="G95" s="29">
        <v>339.0</v>
      </c>
      <c r="H95" s="29" t="s">
        <v>64</v>
      </c>
      <c r="I95" s="25">
        <v>0.0</v>
      </c>
      <c r="J95" s="24">
        <f t="shared" si="13"/>
        <v>0</v>
      </c>
    </row>
    <row r="96" hidden="1">
      <c r="A96" s="157" t="s">
        <v>677</v>
      </c>
      <c r="B96" s="31" t="s">
        <v>714</v>
      </c>
      <c r="C96" s="19" t="s">
        <v>711</v>
      </c>
      <c r="D96" s="19" t="s">
        <v>712</v>
      </c>
      <c r="E96" s="39" t="s">
        <v>713</v>
      </c>
      <c r="F96" s="86">
        <v>30.0</v>
      </c>
      <c r="G96" s="92">
        <v>180.0</v>
      </c>
      <c r="H96" s="25" t="s">
        <v>1278</v>
      </c>
      <c r="I96" s="25">
        <v>0.0</v>
      </c>
      <c r="J96" s="24">
        <f t="shared" si="13"/>
        <v>0</v>
      </c>
    </row>
    <row r="97" hidden="1">
      <c r="A97" s="58" t="s">
        <v>744</v>
      </c>
      <c r="B97" s="13"/>
      <c r="C97" s="13"/>
      <c r="D97" s="13"/>
      <c r="E97" s="13"/>
      <c r="F97" s="13"/>
      <c r="G97" s="13"/>
      <c r="H97" s="14"/>
      <c r="I97" s="59"/>
      <c r="J97" s="59"/>
    </row>
    <row r="98" hidden="1">
      <c r="A98" s="37" t="s">
        <v>745</v>
      </c>
      <c r="B98" s="83" t="s">
        <v>748</v>
      </c>
      <c r="C98" s="18" t="s">
        <v>1279</v>
      </c>
      <c r="D98" s="22" t="s">
        <v>749</v>
      </c>
      <c r="E98" s="84" t="s">
        <v>750</v>
      </c>
      <c r="F98" s="22">
        <v>20.0</v>
      </c>
      <c r="G98" s="29">
        <v>509.0</v>
      </c>
      <c r="H98" s="29" t="s">
        <v>64</v>
      </c>
      <c r="I98" s="25">
        <v>0.0</v>
      </c>
      <c r="J98" s="24">
        <f t="shared" ref="J98:J100" si="14">PRODUCT(PRODUCT(F98:G98),I98)</f>
        <v>0</v>
      </c>
    </row>
    <row r="99" hidden="1">
      <c r="A99" s="37" t="s">
        <v>745</v>
      </c>
      <c r="B99" s="158" t="s">
        <v>1280</v>
      </c>
      <c r="C99" s="159" t="s">
        <v>1154</v>
      </c>
      <c r="D99" s="86" t="s">
        <v>1281</v>
      </c>
      <c r="E99" s="152" t="s">
        <v>1282</v>
      </c>
      <c r="F99" s="46">
        <v>20.0</v>
      </c>
      <c r="G99" s="92">
        <v>349.0</v>
      </c>
      <c r="H99" s="44" t="s">
        <v>64</v>
      </c>
      <c r="I99" s="25">
        <v>0.0</v>
      </c>
      <c r="J99" s="24">
        <f t="shared" si="14"/>
        <v>0</v>
      </c>
    </row>
    <row r="100" hidden="1">
      <c r="A100" s="37" t="s">
        <v>745</v>
      </c>
      <c r="B100" s="83" t="s">
        <v>1283</v>
      </c>
      <c r="C100" s="18" t="s">
        <v>1279</v>
      </c>
      <c r="D100" s="22" t="s">
        <v>749</v>
      </c>
      <c r="E100" s="84" t="s">
        <v>1284</v>
      </c>
      <c r="F100" s="22">
        <v>20.0</v>
      </c>
      <c r="G100" s="29">
        <v>509.0</v>
      </c>
      <c r="H100" s="29" t="s">
        <v>64</v>
      </c>
      <c r="I100" s="25">
        <v>0.0</v>
      </c>
      <c r="J100" s="24">
        <f t="shared" si="14"/>
        <v>0</v>
      </c>
    </row>
    <row r="101" hidden="1">
      <c r="A101" s="58" t="s">
        <v>798</v>
      </c>
      <c r="B101" s="13"/>
      <c r="C101" s="13"/>
      <c r="D101" s="13"/>
      <c r="E101" s="13"/>
      <c r="F101" s="13"/>
      <c r="G101" s="13"/>
      <c r="H101" s="14"/>
      <c r="I101" s="59"/>
      <c r="J101" s="59"/>
    </row>
    <row r="102" hidden="1">
      <c r="A102" s="153" t="s">
        <v>799</v>
      </c>
      <c r="B102" s="30" t="s">
        <v>698</v>
      </c>
      <c r="C102" s="19" t="s">
        <v>698</v>
      </c>
      <c r="D102" s="19" t="s">
        <v>805</v>
      </c>
      <c r="E102" s="39" t="s">
        <v>806</v>
      </c>
      <c r="F102" s="22">
        <v>30.0</v>
      </c>
      <c r="G102" s="29">
        <v>295.0</v>
      </c>
      <c r="H102" s="29" t="s">
        <v>64</v>
      </c>
      <c r="I102" s="25">
        <v>0.0</v>
      </c>
      <c r="J102" s="24">
        <f t="shared" ref="J102:J107" si="15">PRODUCT(PRODUCT(F102:G102),I102)</f>
        <v>0</v>
      </c>
    </row>
    <row r="103" ht="17.25" hidden="1" customHeight="1">
      <c r="A103" s="153" t="s">
        <v>799</v>
      </c>
      <c r="B103" s="160" t="s">
        <v>1285</v>
      </c>
      <c r="C103" s="161" t="s">
        <v>307</v>
      </c>
      <c r="D103" s="107" t="s">
        <v>1286</v>
      </c>
      <c r="E103" s="162" t="s">
        <v>1287</v>
      </c>
      <c r="F103" s="107">
        <v>30.0</v>
      </c>
      <c r="G103" s="109">
        <v>209.0</v>
      </c>
      <c r="H103" s="109" t="s">
        <v>64</v>
      </c>
      <c r="I103" s="25">
        <v>0.0</v>
      </c>
      <c r="J103" s="24">
        <f t="shared" si="15"/>
        <v>0</v>
      </c>
    </row>
    <row r="104" hidden="1">
      <c r="A104" s="153" t="s">
        <v>799</v>
      </c>
      <c r="B104" s="118" t="s">
        <v>46</v>
      </c>
      <c r="C104" s="163" t="s">
        <v>15</v>
      </c>
      <c r="D104" s="119" t="s">
        <v>90</v>
      </c>
      <c r="E104" s="164" t="s">
        <v>1288</v>
      </c>
      <c r="F104" s="121">
        <v>30.0</v>
      </c>
      <c r="G104" s="123">
        <v>249.0</v>
      </c>
      <c r="H104" s="123" t="s">
        <v>64</v>
      </c>
      <c r="I104" s="25">
        <v>0.0</v>
      </c>
      <c r="J104" s="24">
        <f t="shared" si="15"/>
        <v>0</v>
      </c>
    </row>
    <row r="105" hidden="1">
      <c r="A105" s="153" t="s">
        <v>799</v>
      </c>
      <c r="B105" s="31" t="s">
        <v>813</v>
      </c>
      <c r="C105" s="79" t="s">
        <v>15</v>
      </c>
      <c r="D105" s="79" t="s">
        <v>814</v>
      </c>
      <c r="E105" s="61" t="s">
        <v>1289</v>
      </c>
      <c r="F105" s="62">
        <v>30.0</v>
      </c>
      <c r="G105" s="93">
        <v>275.0</v>
      </c>
      <c r="H105" s="48">
        <v>1.0</v>
      </c>
      <c r="I105" s="25">
        <v>0.0</v>
      </c>
      <c r="J105" s="24">
        <f t="shared" si="15"/>
        <v>0</v>
      </c>
    </row>
    <row r="106" hidden="1">
      <c r="A106" s="153" t="s">
        <v>799</v>
      </c>
      <c r="B106" s="31" t="s">
        <v>141</v>
      </c>
      <c r="C106" s="79" t="s">
        <v>15</v>
      </c>
      <c r="D106" s="79" t="s">
        <v>251</v>
      </c>
      <c r="E106" s="64" t="s">
        <v>830</v>
      </c>
      <c r="F106" s="62">
        <v>30.0</v>
      </c>
      <c r="G106" s="44">
        <v>249.0</v>
      </c>
      <c r="H106" s="93" t="s">
        <v>64</v>
      </c>
      <c r="I106" s="25">
        <v>0.0</v>
      </c>
      <c r="J106" s="24">
        <f t="shared" si="15"/>
        <v>0</v>
      </c>
    </row>
    <row r="107" hidden="1">
      <c r="A107" s="153" t="s">
        <v>799</v>
      </c>
      <c r="B107" s="30" t="s">
        <v>831</v>
      </c>
      <c r="C107" s="19" t="s">
        <v>832</v>
      </c>
      <c r="D107" s="19" t="s">
        <v>833</v>
      </c>
      <c r="E107" s="39" t="s">
        <v>1290</v>
      </c>
      <c r="F107" s="22">
        <v>30.0</v>
      </c>
      <c r="G107" s="29">
        <v>355.0</v>
      </c>
      <c r="H107" s="24" t="s">
        <v>20</v>
      </c>
      <c r="I107" s="25">
        <v>0.0</v>
      </c>
      <c r="J107" s="24">
        <f t="shared" si="15"/>
        <v>0</v>
      </c>
    </row>
    <row r="108" hidden="1">
      <c r="A108" s="58" t="s">
        <v>842</v>
      </c>
      <c r="B108" s="13"/>
      <c r="C108" s="13"/>
      <c r="D108" s="13"/>
      <c r="E108" s="13"/>
      <c r="F108" s="13"/>
      <c r="G108" s="13"/>
      <c r="H108" s="14"/>
      <c r="I108" s="59"/>
      <c r="J108" s="59"/>
    </row>
    <row r="109" hidden="1">
      <c r="A109" s="145" t="s">
        <v>843</v>
      </c>
      <c r="B109" s="31" t="s">
        <v>844</v>
      </c>
      <c r="C109" s="19" t="s">
        <v>115</v>
      </c>
      <c r="D109" s="19" t="s">
        <v>845</v>
      </c>
      <c r="E109" s="39" t="s">
        <v>846</v>
      </c>
      <c r="F109" s="19">
        <v>20.0</v>
      </c>
      <c r="G109" s="40">
        <v>445.0</v>
      </c>
      <c r="H109" s="24" t="s">
        <v>20</v>
      </c>
      <c r="I109" s="25">
        <v>0.0</v>
      </c>
      <c r="J109" s="24">
        <f t="shared" ref="J109:J113" si="16">PRODUCT(PRODUCT(F109:G109),I109)</f>
        <v>0</v>
      </c>
    </row>
    <row r="110" hidden="1">
      <c r="A110" s="145" t="s">
        <v>843</v>
      </c>
      <c r="B110" s="31" t="s">
        <v>1291</v>
      </c>
      <c r="C110" s="19" t="s">
        <v>1154</v>
      </c>
      <c r="D110" s="19" t="s">
        <v>1292</v>
      </c>
      <c r="E110" s="39" t="s">
        <v>1293</v>
      </c>
      <c r="F110" s="19">
        <v>20.0</v>
      </c>
      <c r="G110" s="40">
        <v>255.0</v>
      </c>
      <c r="H110" s="29" t="s">
        <v>64</v>
      </c>
      <c r="I110" s="25">
        <v>0.0</v>
      </c>
      <c r="J110" s="24">
        <f t="shared" si="16"/>
        <v>0</v>
      </c>
    </row>
    <row r="111" hidden="1">
      <c r="A111" s="145" t="s">
        <v>843</v>
      </c>
      <c r="B111" s="31" t="s">
        <v>897</v>
      </c>
      <c r="C111" s="19" t="s">
        <v>111</v>
      </c>
      <c r="D111" s="19" t="s">
        <v>898</v>
      </c>
      <c r="E111" s="39" t="s">
        <v>899</v>
      </c>
      <c r="F111" s="19">
        <v>20.0</v>
      </c>
      <c r="G111" s="40">
        <v>339.0</v>
      </c>
      <c r="H111" s="29" t="s">
        <v>64</v>
      </c>
      <c r="I111" s="25">
        <v>0.0</v>
      </c>
      <c r="J111" s="24">
        <f t="shared" si="16"/>
        <v>0</v>
      </c>
    </row>
    <row r="112" hidden="1">
      <c r="A112" s="145" t="s">
        <v>843</v>
      </c>
      <c r="B112" s="31" t="s">
        <v>1294</v>
      </c>
      <c r="C112" s="19" t="s">
        <v>711</v>
      </c>
      <c r="D112" s="19" t="s">
        <v>1295</v>
      </c>
      <c r="E112" s="39" t="s">
        <v>1296</v>
      </c>
      <c r="F112" s="19">
        <v>20.0</v>
      </c>
      <c r="G112" s="40">
        <v>219.0</v>
      </c>
      <c r="H112" s="76">
        <v>1.0</v>
      </c>
      <c r="I112" s="25">
        <v>0.0</v>
      </c>
      <c r="J112" s="24">
        <f t="shared" si="16"/>
        <v>0</v>
      </c>
    </row>
    <row r="113" hidden="1">
      <c r="A113" s="145" t="s">
        <v>843</v>
      </c>
      <c r="B113" s="31" t="s">
        <v>909</v>
      </c>
      <c r="C113" s="19" t="s">
        <v>233</v>
      </c>
      <c r="D113" s="19" t="s">
        <v>910</v>
      </c>
      <c r="E113" s="39" t="s">
        <v>911</v>
      </c>
      <c r="F113" s="19">
        <v>20.0</v>
      </c>
      <c r="G113" s="40">
        <v>335.0</v>
      </c>
      <c r="H113" s="29" t="s">
        <v>64</v>
      </c>
      <c r="I113" s="25">
        <v>0.0</v>
      </c>
      <c r="J113" s="24">
        <f t="shared" si="16"/>
        <v>0</v>
      </c>
    </row>
    <row r="114" hidden="1">
      <c r="A114" s="58" t="s">
        <v>925</v>
      </c>
      <c r="B114" s="13"/>
      <c r="C114" s="13"/>
      <c r="D114" s="13"/>
      <c r="E114" s="13"/>
      <c r="F114" s="13"/>
      <c r="G114" s="13"/>
      <c r="H114" s="14"/>
      <c r="I114" s="59"/>
      <c r="J114" s="59"/>
    </row>
    <row r="115" hidden="1">
      <c r="A115" s="37" t="s">
        <v>926</v>
      </c>
      <c r="B115" s="31" t="s">
        <v>934</v>
      </c>
      <c r="C115" s="18" t="s">
        <v>935</v>
      </c>
      <c r="D115" s="19" t="s">
        <v>936</v>
      </c>
      <c r="E115" s="39" t="s">
        <v>937</v>
      </c>
      <c r="F115" s="19">
        <v>20.0</v>
      </c>
      <c r="G115" s="40">
        <v>325.0</v>
      </c>
      <c r="H115" s="24" t="s">
        <v>20</v>
      </c>
      <c r="I115" s="25">
        <v>0.0</v>
      </c>
      <c r="J115" s="24">
        <f>PRODUCT(PRODUCT(F115:G115),I115)</f>
        <v>0</v>
      </c>
    </row>
    <row r="116" hidden="1">
      <c r="A116" s="58" t="s">
        <v>945</v>
      </c>
      <c r="B116" s="13"/>
      <c r="C116" s="13"/>
      <c r="D116" s="13"/>
      <c r="E116" s="13"/>
      <c r="F116" s="13"/>
      <c r="G116" s="13"/>
      <c r="H116" s="14"/>
      <c r="I116" s="59"/>
      <c r="J116" s="59"/>
    </row>
    <row r="117" hidden="1">
      <c r="A117" s="37" t="s">
        <v>946</v>
      </c>
      <c r="B117" s="17" t="s">
        <v>956</v>
      </c>
      <c r="C117" s="18" t="s">
        <v>22</v>
      </c>
      <c r="D117" s="19" t="s">
        <v>957</v>
      </c>
      <c r="E117" s="39" t="s">
        <v>958</v>
      </c>
      <c r="F117" s="19">
        <v>20.0</v>
      </c>
      <c r="G117" s="49">
        <v>329.0</v>
      </c>
      <c r="H117" s="29" t="s">
        <v>64</v>
      </c>
      <c r="I117" s="25">
        <v>0.0</v>
      </c>
      <c r="J117" s="24">
        <f t="shared" ref="J117:J128" si="17">PRODUCT(PRODUCT(F117:G117),I117)</f>
        <v>0</v>
      </c>
    </row>
    <row r="118" hidden="1">
      <c r="A118" s="37" t="s">
        <v>946</v>
      </c>
      <c r="B118" s="31" t="s">
        <v>1297</v>
      </c>
      <c r="C118" s="19" t="s">
        <v>286</v>
      </c>
      <c r="D118" s="19" t="s">
        <v>962</v>
      </c>
      <c r="E118" s="39" t="s">
        <v>1298</v>
      </c>
      <c r="F118" s="19">
        <v>20.0</v>
      </c>
      <c r="G118" s="40">
        <v>495.0</v>
      </c>
      <c r="H118" s="76">
        <v>1.0</v>
      </c>
      <c r="I118" s="25">
        <v>0.0</v>
      </c>
      <c r="J118" s="24">
        <f t="shared" si="17"/>
        <v>0</v>
      </c>
    </row>
    <row r="119" hidden="1">
      <c r="A119" s="37" t="s">
        <v>946</v>
      </c>
      <c r="B119" s="17" t="s">
        <v>1299</v>
      </c>
      <c r="C119" s="4" t="s">
        <v>286</v>
      </c>
      <c r="D119" s="4" t="s">
        <v>986</v>
      </c>
      <c r="E119" s="165" t="s">
        <v>1300</v>
      </c>
      <c r="F119" s="4">
        <v>20.0</v>
      </c>
      <c r="G119" s="52">
        <v>495.0</v>
      </c>
      <c r="H119" s="76">
        <v>1.0</v>
      </c>
      <c r="I119" s="25">
        <v>0.0</v>
      </c>
      <c r="J119" s="24">
        <f t="shared" si="17"/>
        <v>0</v>
      </c>
    </row>
    <row r="120" hidden="1">
      <c r="A120" s="37" t="s">
        <v>946</v>
      </c>
      <c r="B120" s="31" t="s">
        <v>976</v>
      </c>
      <c r="C120" s="19" t="s">
        <v>977</v>
      </c>
      <c r="D120" s="19" t="s">
        <v>978</v>
      </c>
      <c r="E120" s="39" t="s">
        <v>979</v>
      </c>
      <c r="F120" s="19">
        <v>20.0</v>
      </c>
      <c r="G120" s="40">
        <v>549.0</v>
      </c>
      <c r="H120" s="24" t="s">
        <v>20</v>
      </c>
      <c r="I120" s="25">
        <v>0.0</v>
      </c>
      <c r="J120" s="24">
        <f t="shared" si="17"/>
        <v>0</v>
      </c>
    </row>
    <row r="121" hidden="1">
      <c r="A121" s="37" t="s">
        <v>946</v>
      </c>
      <c r="B121" s="31" t="s">
        <v>980</v>
      </c>
      <c r="C121" s="19" t="s">
        <v>111</v>
      </c>
      <c r="D121" s="19" t="s">
        <v>951</v>
      </c>
      <c r="E121" s="39" t="s">
        <v>981</v>
      </c>
      <c r="F121" s="19">
        <v>20.0</v>
      </c>
      <c r="G121" s="40">
        <v>435.0</v>
      </c>
      <c r="H121" s="24" t="s">
        <v>20</v>
      </c>
      <c r="I121" s="25">
        <v>0.0</v>
      </c>
      <c r="J121" s="24">
        <f t="shared" si="17"/>
        <v>0</v>
      </c>
    </row>
    <row r="122" hidden="1">
      <c r="A122" s="37" t="s">
        <v>946</v>
      </c>
      <c r="B122" s="31" t="s">
        <v>988</v>
      </c>
      <c r="C122" s="19" t="s">
        <v>115</v>
      </c>
      <c r="D122" s="19" t="s">
        <v>971</v>
      </c>
      <c r="E122" s="39" t="s">
        <v>989</v>
      </c>
      <c r="F122" s="19">
        <v>20.0</v>
      </c>
      <c r="G122" s="40">
        <v>465.0</v>
      </c>
      <c r="H122" s="29" t="s">
        <v>64</v>
      </c>
      <c r="I122" s="25">
        <v>0.0</v>
      </c>
      <c r="J122" s="24">
        <f t="shared" si="17"/>
        <v>0</v>
      </c>
    </row>
    <row r="123" hidden="1">
      <c r="A123" s="37" t="s">
        <v>946</v>
      </c>
      <c r="B123" s="31" t="s">
        <v>990</v>
      </c>
      <c r="C123" s="19" t="s">
        <v>991</v>
      </c>
      <c r="D123" s="19" t="s">
        <v>992</v>
      </c>
      <c r="E123" s="39" t="s">
        <v>993</v>
      </c>
      <c r="F123" s="19">
        <v>20.0</v>
      </c>
      <c r="G123" s="40">
        <v>329.0</v>
      </c>
      <c r="H123" s="24" t="s">
        <v>20</v>
      </c>
      <c r="I123" s="25">
        <v>0.0</v>
      </c>
      <c r="J123" s="24">
        <f t="shared" si="17"/>
        <v>0</v>
      </c>
    </row>
    <row r="124" hidden="1">
      <c r="A124" s="37" t="s">
        <v>946</v>
      </c>
      <c r="B124" s="31" t="s">
        <v>1301</v>
      </c>
      <c r="C124" s="19" t="s">
        <v>286</v>
      </c>
      <c r="D124" s="19" t="s">
        <v>962</v>
      </c>
      <c r="E124" s="39" t="s">
        <v>1302</v>
      </c>
      <c r="F124" s="19">
        <v>20.0</v>
      </c>
      <c r="G124" s="40">
        <v>495.0</v>
      </c>
      <c r="H124" s="76">
        <v>1.0</v>
      </c>
      <c r="I124" s="25">
        <v>0.0</v>
      </c>
      <c r="J124" s="24">
        <f t="shared" si="17"/>
        <v>0</v>
      </c>
    </row>
    <row r="125" hidden="1">
      <c r="A125" s="37" t="s">
        <v>946</v>
      </c>
      <c r="B125" s="17" t="s">
        <v>1002</v>
      </c>
      <c r="C125" s="4" t="s">
        <v>54</v>
      </c>
      <c r="D125" s="4" t="s">
        <v>1003</v>
      </c>
      <c r="E125" s="165" t="s">
        <v>1004</v>
      </c>
      <c r="F125" s="4">
        <v>20.0</v>
      </c>
      <c r="G125" s="52">
        <v>289.0</v>
      </c>
      <c r="H125" s="29" t="s">
        <v>64</v>
      </c>
      <c r="I125" s="25">
        <v>0.0</v>
      </c>
      <c r="J125" s="24">
        <f t="shared" si="17"/>
        <v>0</v>
      </c>
    </row>
    <row r="126">
      <c r="A126" s="37" t="s">
        <v>946</v>
      </c>
      <c r="B126" s="31" t="s">
        <v>1005</v>
      </c>
      <c r="C126" s="19" t="s">
        <v>1006</v>
      </c>
      <c r="D126" s="19" t="s">
        <v>151</v>
      </c>
      <c r="E126" s="39" t="s">
        <v>1007</v>
      </c>
      <c r="F126" s="19">
        <v>20.0</v>
      </c>
      <c r="G126" s="40">
        <v>289.0</v>
      </c>
      <c r="H126" s="29" t="s">
        <v>64</v>
      </c>
      <c r="I126" s="25">
        <v>1.0</v>
      </c>
      <c r="J126" s="24">
        <f t="shared" si="17"/>
        <v>5780</v>
      </c>
    </row>
    <row r="127" hidden="1">
      <c r="A127" s="37" t="s">
        <v>946</v>
      </c>
      <c r="B127" s="31" t="s">
        <v>1011</v>
      </c>
      <c r="C127" s="19" t="s">
        <v>15</v>
      </c>
      <c r="D127" s="19" t="s">
        <v>1012</v>
      </c>
      <c r="E127" s="39" t="s">
        <v>1013</v>
      </c>
      <c r="F127" s="19">
        <v>20.0</v>
      </c>
      <c r="G127" s="49">
        <v>329.0</v>
      </c>
      <c r="H127" s="76">
        <v>1.0</v>
      </c>
      <c r="I127" s="25">
        <v>0.0</v>
      </c>
      <c r="J127" s="24">
        <f t="shared" si="17"/>
        <v>0</v>
      </c>
    </row>
    <row r="128" hidden="1">
      <c r="A128" s="37" t="s">
        <v>946</v>
      </c>
      <c r="B128" s="31" t="s">
        <v>1014</v>
      </c>
      <c r="C128" s="18" t="s">
        <v>711</v>
      </c>
      <c r="D128" s="19" t="s">
        <v>1012</v>
      </c>
      <c r="E128" s="39" t="s">
        <v>1015</v>
      </c>
      <c r="F128" s="19">
        <v>20.0</v>
      </c>
      <c r="G128" s="49">
        <v>289.0</v>
      </c>
      <c r="H128" s="29" t="s">
        <v>64</v>
      </c>
      <c r="I128" s="25">
        <v>0.0</v>
      </c>
      <c r="J128" s="24">
        <f t="shared" si="17"/>
        <v>0</v>
      </c>
    </row>
    <row r="129" hidden="1">
      <c r="A129" s="58" t="s">
        <v>1016</v>
      </c>
      <c r="B129" s="13"/>
      <c r="C129" s="13"/>
      <c r="D129" s="13"/>
      <c r="E129" s="13"/>
      <c r="F129" s="13"/>
      <c r="G129" s="13"/>
      <c r="H129" s="14"/>
      <c r="I129" s="59"/>
      <c r="J129" s="59"/>
    </row>
    <row r="130" hidden="1">
      <c r="A130" s="145" t="s">
        <v>1017</v>
      </c>
      <c r="B130" s="128" t="s">
        <v>1021</v>
      </c>
      <c r="C130" s="41" t="s">
        <v>60</v>
      </c>
      <c r="D130" s="38" t="s">
        <v>119</v>
      </c>
      <c r="E130" s="129" t="s">
        <v>1022</v>
      </c>
      <c r="F130" s="19">
        <v>20.0</v>
      </c>
      <c r="G130" s="49">
        <v>325.0</v>
      </c>
      <c r="H130" s="76">
        <v>1.0</v>
      </c>
      <c r="I130" s="25">
        <v>0.0</v>
      </c>
      <c r="J130" s="24">
        <f t="shared" ref="J130:J132" si="18">PRODUCT(PRODUCT(F130:G130),I130)</f>
        <v>0</v>
      </c>
    </row>
    <row r="131" hidden="1">
      <c r="A131" s="145" t="s">
        <v>1017</v>
      </c>
      <c r="B131" s="83" t="s">
        <v>1027</v>
      </c>
      <c r="C131" s="21" t="s">
        <v>60</v>
      </c>
      <c r="D131" s="22" t="s">
        <v>119</v>
      </c>
      <c r="E131" s="84" t="s">
        <v>1028</v>
      </c>
      <c r="F131" s="19">
        <v>20.0</v>
      </c>
      <c r="G131" s="40">
        <v>379.0</v>
      </c>
      <c r="H131" s="76">
        <v>1.0</v>
      </c>
      <c r="I131" s="25">
        <v>0.0</v>
      </c>
      <c r="J131" s="24">
        <f t="shared" si="18"/>
        <v>0</v>
      </c>
    </row>
    <row r="132" hidden="1">
      <c r="A132" s="145" t="s">
        <v>1017</v>
      </c>
      <c r="B132" s="31" t="s">
        <v>1074</v>
      </c>
      <c r="C132" s="18" t="s">
        <v>60</v>
      </c>
      <c r="D132" s="19" t="s">
        <v>145</v>
      </c>
      <c r="E132" s="39" t="s">
        <v>1075</v>
      </c>
      <c r="F132" s="19">
        <v>20.0</v>
      </c>
      <c r="G132" s="40">
        <v>219.0</v>
      </c>
      <c r="H132" s="29" t="s">
        <v>64</v>
      </c>
      <c r="I132" s="25">
        <v>0.0</v>
      </c>
      <c r="J132" s="24">
        <f t="shared" si="18"/>
        <v>0</v>
      </c>
    </row>
    <row r="133" hidden="1">
      <c r="A133" s="58" t="s">
        <v>1076</v>
      </c>
      <c r="B133" s="13"/>
      <c r="C133" s="13"/>
      <c r="D133" s="13"/>
      <c r="E133" s="13"/>
      <c r="F133" s="13"/>
      <c r="G133" s="13"/>
      <c r="H133" s="14"/>
      <c r="I133" s="59"/>
      <c r="J133" s="59"/>
    </row>
    <row r="134" hidden="1">
      <c r="A134" s="37" t="s">
        <v>1077</v>
      </c>
      <c r="B134" s="31" t="s">
        <v>1078</v>
      </c>
      <c r="C134" s="63" t="s">
        <v>15</v>
      </c>
      <c r="D134" s="63" t="s">
        <v>224</v>
      </c>
      <c r="E134" s="166" t="s">
        <v>1079</v>
      </c>
      <c r="F134" s="79">
        <v>20.0</v>
      </c>
      <c r="G134" s="47">
        <v>325.0</v>
      </c>
      <c r="H134" s="76">
        <v>1.0</v>
      </c>
      <c r="I134" s="25">
        <v>0.0</v>
      </c>
      <c r="J134" s="24">
        <f>PRODUCT(PRODUCT(F134:G134),I134)</f>
        <v>0</v>
      </c>
    </row>
    <row r="135" hidden="1">
      <c r="A135" s="58" t="s">
        <v>1115</v>
      </c>
      <c r="B135" s="13"/>
      <c r="C135" s="13"/>
      <c r="D135" s="13"/>
      <c r="E135" s="13"/>
      <c r="F135" s="13"/>
      <c r="G135" s="13"/>
      <c r="H135" s="14"/>
      <c r="I135" s="59"/>
      <c r="J135" s="59"/>
    </row>
    <row r="136" hidden="1">
      <c r="A136" s="37" t="s">
        <v>1116</v>
      </c>
      <c r="B136" s="31" t="s">
        <v>1126</v>
      </c>
      <c r="C136" s="22" t="s">
        <v>286</v>
      </c>
      <c r="D136" s="22" t="s">
        <v>1127</v>
      </c>
      <c r="E136" s="39" t="s">
        <v>1128</v>
      </c>
      <c r="F136" s="22">
        <v>20.0</v>
      </c>
      <c r="G136" s="29">
        <v>579.0</v>
      </c>
      <c r="H136" s="29" t="s">
        <v>64</v>
      </c>
      <c r="I136" s="25">
        <v>0.0</v>
      </c>
      <c r="J136" s="24">
        <f t="shared" ref="J136:J138" si="19">PRODUCT(PRODUCT(F136:G136),I136)</f>
        <v>0</v>
      </c>
    </row>
    <row r="137" hidden="1">
      <c r="A137" s="37" t="s">
        <v>1116</v>
      </c>
      <c r="B137" s="83" t="s">
        <v>1303</v>
      </c>
      <c r="C137" s="21" t="s">
        <v>307</v>
      </c>
      <c r="D137" s="86" t="s">
        <v>1304</v>
      </c>
      <c r="E137" s="167" t="s">
        <v>1305</v>
      </c>
      <c r="F137" s="22">
        <v>20.0</v>
      </c>
      <c r="G137" s="29">
        <v>375.0</v>
      </c>
      <c r="H137" s="29" t="s">
        <v>64</v>
      </c>
      <c r="I137" s="25">
        <v>0.0</v>
      </c>
      <c r="J137" s="24">
        <f t="shared" si="19"/>
        <v>0</v>
      </c>
    </row>
    <row r="138" hidden="1">
      <c r="A138" s="37" t="s">
        <v>1116</v>
      </c>
      <c r="B138" s="31" t="s">
        <v>1306</v>
      </c>
      <c r="C138" s="21" t="s">
        <v>115</v>
      </c>
      <c r="D138" s="22" t="s">
        <v>1307</v>
      </c>
      <c r="E138" s="39" t="s">
        <v>1308</v>
      </c>
      <c r="F138" s="22">
        <v>20.0</v>
      </c>
      <c r="G138" s="29">
        <v>475.0</v>
      </c>
      <c r="H138" s="29" t="s">
        <v>64</v>
      </c>
      <c r="I138" s="25">
        <v>0.0</v>
      </c>
      <c r="J138" s="24">
        <f t="shared" si="19"/>
        <v>0</v>
      </c>
    </row>
    <row r="139">
      <c r="A139" s="135"/>
      <c r="B139" s="136"/>
      <c r="C139" s="137"/>
      <c r="D139" s="138"/>
      <c r="E139" s="139"/>
      <c r="F139" s="138"/>
      <c r="G139" s="168"/>
      <c r="H139" s="141" t="s">
        <v>1309</v>
      </c>
      <c r="I139" s="142">
        <f t="shared" ref="I139:J139" si="20">SUM(I4:I138)</f>
        <v>5</v>
      </c>
      <c r="J139" s="169">
        <f t="shared" si="20"/>
        <v>24090</v>
      </c>
    </row>
  </sheetData>
  <autoFilter ref="$A$2:$J$139">
    <filterColumn colId="1">
      <filters blank="1">
        <filter val="Academic Pizzicato"/>
        <filter val="Томатная Дичь Кимчи"/>
        <filter val="B-DAY Lager"/>
        <filter val="Mr. O'Vsyanka / Мистер О`всянка"/>
        <filter val="ABC Weizen"/>
        <filter val="La Lucha Libre"/>
        <filter val="Hellbringer"/>
        <filter val="STOP'N'GO: DDH+Lupulin Powder"/>
        <filter val="Dry Nitro Stout"/>
        <filter val="Fruitride"/>
        <filter val="DIPA"/>
        <filter val="ST ANDREWS"/>
        <filter val="Ghostly Caravan"/>
        <filter val="Mead Traditional"/>
        <filter val="Mr. Golding"/>
        <filter val="RADETZKY MARCH"/>
        <filter val="I Was Getting Drunk In A Flower Shop 10 Years Ago"/>
        <filter val="Duck Moment"/>
        <filter val="Белое"/>
        <filter val="Mead Cherry"/>
        <filter val="Ласка нерпы"/>
        <filter val="Seven Shimmers"/>
        <filter val="В Собственном Соку: Вишня"/>
        <filter val="Same Shit Different Day V.2"/>
        <filter val="HOPPY LAGER"/>
        <filter val="Straßenbahn Dunkelweizen"/>
        <filter val="Pils"/>
        <filter val="Спецварка"/>
        <filter val="Дзен и искусство ухода за каламанси"/>
        <filter val="Rauchzart"/>
        <filter val="Schukowski Pils / Жуковский Пилс"/>
        <filter val="Limit Break"/>
        <filter val="Helles"/>
        <filter val="Тотем - Медведь"/>
        <filter val="PILS"/>
        <filter val="Arcane Gleam"/>
        <filter val="Starovar Black Velvet"/>
        <filter val="Утро Туманное"/>
        <filter val="Sound Bevvy"/>
        <filter val="Токсовский Трамплин"/>
        <filter val="Transistor"/>
        <filter val="Festival Destroyer"/>
        <filter val="Сидр Полусухой Псковский Терруар"/>
        <filter val="Пилснер"/>
        <filter val="Сидр Полусладкий 862"/>
        <filter val="Хеллес"/>
        <filter val="Tomato Method"/>
        <filter val="Tropic Sour Kitchen"/>
        <filter val="Голова"/>
        <filter val="Starovar IPA"/>
        <filter val="Off the Pond"/>
        <filter val="Blueberry and Vanilla Mead"/>
        <filter val="Holy DIPA"/>
        <filter val="Sombra Blanca"/>
        <filter val="Straßenbahn"/>
        <filter val="Beeswax"/>
        <filter val="Отличный Урожай"/>
        <filter val="Синьор Помидор И Друг Его Тимьян"/>
        <filter val="Irish Wolf"/>
        <filter val="REARVIEW"/>
        <filter val="Village Stout"/>
        <filter val="Your Young Lordship"/>
        <filter val="Селестиал: Strata+Citra+Mosaic"/>
        <filter val="Starovar Non Alco"/>
        <filter val="Selfmade Pilsner"/>
        <filter val="Traditional Mead"/>
        <filter val="Berry Sour Kitchen Black Currant, Mint"/>
        <filter val="Сидр Сухой Старый Изборск"/>
        <filter val="Epidemic"/>
        <filter val="Caress and Scratch"/>
        <filter val="Rocket Jump"/>
        <filter val="Lone Sword"/>
        <filter val="Black Currant Mead"/>
        <filter val="Milk Star"/>
        <filter val="Muapolku"/>
        <filter val="A Night In The Lonesome October"/>
        <filter val="Селестиал: HBC-638+Chinook+Azacca"/>
        <filter val="Midday Beast"/>
        <filter val="Mead Honeysuckle"/>
        <filter val="Рыжая Соня"/>
        <filter val="QUEEN GRACE"/>
        <filter val="Your Freak Lordship"/>
        <filter val="Starovar APA"/>
        <filter val="Braw Chuchter"/>
        <filter val="NITRO Scratch"/>
        <filter val="Hot Wax"/>
        <filter val="ABC-Kölsch"/>
        <filter val="American Pale Ale"/>
        <filter val="Yellow Cream"/>
        <filter val="Nonstop Feeling"/>
        <filter val="Авиатор"/>
        <filter val="Most Wonderful Time 4 A Beer"/>
        <filter val="IMAGINARIUM"/>
        <filter val="THE DIAMOND"/>
        <filter val="Дзен и искусство ухода за цитрусами"/>
        <filter val="Starovar Munchen Helles"/>
        <filter val="Heartless Shadow"/>
        <filter val="BIG CLASH!"/>
        <filter val="Village Blanche"/>
        <filter val="Juicy IPA"/>
        <filter val="Банановые Мозги"/>
        <filter val="Алтайские Традиции / Weissbier"/>
        <filter val="Аномалия"/>
        <filter val="Чешская деситка"/>
        <filter val="Сидр Полусухой Hop Me"/>
        <filter val="Midnight Beast"/>
        <filter val="Choco Mammuth"/>
        <filter val="ПРОСТ!"/>
        <filter val="IPA"/>
      </filters>
    </filterColumn>
    <filterColumn colId="8">
      <filters blank="1">
        <filter val="1"/>
        <filter val="2"/>
        <filter val="5"/>
        <filter val="10"/>
      </filters>
    </filterColumn>
  </autoFilter>
  <mergeCells count="28">
    <mergeCell ref="A1:D1"/>
    <mergeCell ref="F1:H1"/>
    <mergeCell ref="A3:H3"/>
    <mergeCell ref="A12:H12"/>
    <mergeCell ref="A16:H16"/>
    <mergeCell ref="A29:H29"/>
    <mergeCell ref="A34:H34"/>
    <mergeCell ref="A38:H38"/>
    <mergeCell ref="A40:H40"/>
    <mergeCell ref="A42:H42"/>
    <mergeCell ref="A45:H45"/>
    <mergeCell ref="A47:H47"/>
    <mergeCell ref="A59:H59"/>
    <mergeCell ref="A64:H64"/>
    <mergeCell ref="A101:H101"/>
    <mergeCell ref="A108:H108"/>
    <mergeCell ref="A114:H114"/>
    <mergeCell ref="A116:H116"/>
    <mergeCell ref="A129:H129"/>
    <mergeCell ref="A133:H133"/>
    <mergeCell ref="A135:H135"/>
    <mergeCell ref="A68:H68"/>
    <mergeCell ref="A71:H71"/>
    <mergeCell ref="A82:H82"/>
    <mergeCell ref="A84:H84"/>
    <mergeCell ref="A86:H86"/>
    <mergeCell ref="A90:H90"/>
    <mergeCell ref="A97:H97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3"/>
    <hyperlink r:id="rId11" ref="B14"/>
    <hyperlink r:id="rId12" ref="B15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30"/>
    <hyperlink r:id="rId26" ref="B31"/>
    <hyperlink r:id="rId27" ref="B32"/>
    <hyperlink r:id="rId28" ref="B33"/>
    <hyperlink r:id="rId29" ref="B35"/>
    <hyperlink r:id="rId30" ref="B36"/>
    <hyperlink r:id="rId31" ref="B37"/>
    <hyperlink r:id="rId32" ref="B39"/>
    <hyperlink r:id="rId33" ref="B41"/>
    <hyperlink r:id="rId34" ref="B43"/>
    <hyperlink r:id="rId35" ref="B44"/>
    <hyperlink r:id="rId36" ref="B46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60"/>
    <hyperlink r:id="rId49" ref="B61"/>
    <hyperlink r:id="rId50" ref="B62"/>
    <hyperlink r:id="rId51" ref="B63"/>
    <hyperlink r:id="rId52" ref="B65"/>
    <hyperlink r:id="rId53" ref="B66"/>
    <hyperlink r:id="rId54" ref="B67"/>
    <hyperlink r:id="rId55" ref="B69"/>
    <hyperlink r:id="rId56" ref="B70"/>
    <hyperlink r:id="rId57" ref="B72"/>
    <hyperlink r:id="rId58" ref="B73"/>
    <hyperlink r:id="rId59" ref="B74"/>
    <hyperlink r:id="rId60" ref="B75"/>
    <hyperlink r:id="rId61" ref="B76"/>
    <hyperlink r:id="rId62" ref="B77"/>
    <hyperlink r:id="rId63" ref="B78"/>
    <hyperlink r:id="rId64" ref="B79"/>
    <hyperlink r:id="rId65" ref="B80"/>
    <hyperlink r:id="rId66" ref="B81"/>
    <hyperlink r:id="rId67" ref="B83"/>
    <hyperlink r:id="rId68" ref="B85"/>
    <hyperlink r:id="rId69" ref="B87"/>
    <hyperlink r:id="rId70" ref="B88"/>
    <hyperlink r:id="rId71" ref="B89"/>
    <hyperlink r:id="rId72" ref="B91"/>
    <hyperlink r:id="rId73" ref="B92"/>
    <hyperlink r:id="rId74" ref="B93"/>
    <hyperlink r:id="rId75" ref="B94"/>
    <hyperlink r:id="rId76" ref="B95"/>
    <hyperlink r:id="rId77" ref="B96"/>
    <hyperlink r:id="rId78" ref="B98"/>
    <hyperlink r:id="rId79" ref="B100"/>
    <hyperlink r:id="rId80" ref="B102"/>
    <hyperlink r:id="rId81" ref="B103"/>
    <hyperlink r:id="rId82" ref="B104"/>
    <hyperlink r:id="rId83" ref="B105"/>
    <hyperlink r:id="rId84" ref="B106"/>
    <hyperlink r:id="rId85" ref="B107"/>
    <hyperlink r:id="rId86" ref="B109"/>
    <hyperlink r:id="rId87" ref="B110"/>
    <hyperlink r:id="rId88" ref="B111"/>
    <hyperlink r:id="rId89" ref="B112"/>
    <hyperlink r:id="rId90" ref="B113"/>
    <hyperlink r:id="rId91" ref="B115"/>
    <hyperlink r:id="rId92" ref="B117"/>
    <hyperlink r:id="rId93" ref="B118"/>
    <hyperlink r:id="rId94" ref="B119"/>
    <hyperlink r:id="rId95" ref="B120"/>
    <hyperlink r:id="rId96" ref="B121"/>
    <hyperlink r:id="rId97" ref="B122"/>
    <hyperlink r:id="rId98" ref="B123"/>
    <hyperlink r:id="rId99" ref="B124"/>
    <hyperlink r:id="rId100" ref="B125"/>
    <hyperlink r:id="rId101" ref="B126"/>
    <hyperlink r:id="rId102" ref="B127"/>
    <hyperlink r:id="rId103" ref="B128"/>
    <hyperlink r:id="rId104" ref="B130"/>
    <hyperlink r:id="rId105" ref="B131"/>
    <hyperlink r:id="rId106" ref="B132"/>
    <hyperlink r:id="rId107" ref="B134"/>
    <hyperlink r:id="rId108" ref="B136"/>
    <hyperlink r:id="rId109" ref="B137"/>
    <hyperlink r:id="rId110" ref="B13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45.25"/>
    <col customWidth="1" min="3" max="3" width="19.25"/>
    <col customWidth="1" min="4" max="4" width="69.5"/>
    <col customWidth="1" min="6" max="6" width="12.5"/>
  </cols>
  <sheetData>
    <row r="1">
      <c r="A1" s="1" t="s">
        <v>1310</v>
      </c>
      <c r="D1" s="2"/>
      <c r="E1" s="3" t="s">
        <v>1174</v>
      </c>
      <c r="I1" s="4"/>
      <c r="J1" s="4"/>
    </row>
    <row r="2">
      <c r="A2" s="5" t="s">
        <v>2</v>
      </c>
      <c r="B2" s="6" t="s">
        <v>3</v>
      </c>
      <c r="C2" s="7" t="s">
        <v>4</v>
      </c>
      <c r="D2" s="9" t="s">
        <v>6</v>
      </c>
      <c r="E2" s="10" t="s">
        <v>7</v>
      </c>
      <c r="F2" s="10" t="s">
        <v>1311</v>
      </c>
      <c r="G2" s="6" t="s">
        <v>9</v>
      </c>
      <c r="H2" s="6" t="s">
        <v>10</v>
      </c>
      <c r="I2" s="11" t="s">
        <v>11</v>
      </c>
      <c r="J2" s="11" t="s">
        <v>9</v>
      </c>
    </row>
    <row r="3" hidden="1">
      <c r="A3" s="170" t="s">
        <v>1312</v>
      </c>
      <c r="B3" s="66"/>
      <c r="C3" s="66"/>
      <c r="D3" s="66"/>
      <c r="E3" s="66"/>
      <c r="F3" s="66"/>
      <c r="G3" s="66"/>
      <c r="H3" s="110"/>
      <c r="I3" s="36"/>
      <c r="J3" s="36"/>
    </row>
    <row r="4" hidden="1">
      <c r="A4" s="145" t="s">
        <v>1313</v>
      </c>
      <c r="B4" s="114" t="s">
        <v>1314</v>
      </c>
      <c r="C4" s="171" t="s">
        <v>708</v>
      </c>
      <c r="D4" s="172" t="s">
        <v>1315</v>
      </c>
      <c r="E4" s="21" t="s">
        <v>18</v>
      </c>
      <c r="F4" s="22" t="s">
        <v>63</v>
      </c>
      <c r="G4" s="130">
        <v>175.0</v>
      </c>
      <c r="H4" s="29" t="s">
        <v>64</v>
      </c>
      <c r="I4" s="92">
        <v>0.0</v>
      </c>
      <c r="J4" s="29">
        <f t="shared" ref="J4:J10" si="1">PRODUCT(G4,I4)</f>
        <v>0</v>
      </c>
    </row>
    <row r="5" hidden="1">
      <c r="A5" s="145" t="s">
        <v>1313</v>
      </c>
      <c r="B5" s="114" t="s">
        <v>1316</v>
      </c>
      <c r="C5" s="171" t="s">
        <v>243</v>
      </c>
      <c r="D5" s="172" t="s">
        <v>1317</v>
      </c>
      <c r="E5" s="21" t="s">
        <v>18</v>
      </c>
      <c r="F5" s="22" t="s">
        <v>63</v>
      </c>
      <c r="G5" s="130">
        <v>175.0</v>
      </c>
      <c r="H5" s="29" t="s">
        <v>64</v>
      </c>
      <c r="I5" s="92">
        <v>0.0</v>
      </c>
      <c r="J5" s="29">
        <f t="shared" si="1"/>
        <v>0</v>
      </c>
    </row>
    <row r="6" hidden="1">
      <c r="A6" s="145" t="s">
        <v>1313</v>
      </c>
      <c r="B6" s="114" t="s">
        <v>1318</v>
      </c>
      <c r="C6" s="171" t="s">
        <v>307</v>
      </c>
      <c r="D6" s="172" t="s">
        <v>1319</v>
      </c>
      <c r="E6" s="21" t="s">
        <v>18</v>
      </c>
      <c r="F6" s="22" t="s">
        <v>63</v>
      </c>
      <c r="G6" s="130">
        <v>175.0</v>
      </c>
      <c r="H6" s="29" t="s">
        <v>64</v>
      </c>
      <c r="I6" s="92">
        <v>0.0</v>
      </c>
      <c r="J6" s="29">
        <f t="shared" si="1"/>
        <v>0</v>
      </c>
    </row>
    <row r="7" hidden="1">
      <c r="A7" s="145" t="s">
        <v>1313</v>
      </c>
      <c r="B7" s="114" t="s">
        <v>1320</v>
      </c>
      <c r="C7" s="171" t="s">
        <v>15</v>
      </c>
      <c r="D7" s="172" t="s">
        <v>1321</v>
      </c>
      <c r="E7" s="21" t="s">
        <v>18</v>
      </c>
      <c r="F7" s="22" t="s">
        <v>63</v>
      </c>
      <c r="G7" s="130">
        <v>175.0</v>
      </c>
      <c r="H7" s="29" t="s">
        <v>64</v>
      </c>
      <c r="I7" s="92">
        <v>0.0</v>
      </c>
      <c r="J7" s="29">
        <f t="shared" si="1"/>
        <v>0</v>
      </c>
    </row>
    <row r="8" hidden="1">
      <c r="A8" s="145" t="s">
        <v>1313</v>
      </c>
      <c r="B8" s="114" t="s">
        <v>1322</v>
      </c>
      <c r="C8" s="171" t="s">
        <v>243</v>
      </c>
      <c r="D8" s="172" t="s">
        <v>1323</v>
      </c>
      <c r="E8" s="21" t="s">
        <v>18</v>
      </c>
      <c r="F8" s="22" t="s">
        <v>63</v>
      </c>
      <c r="G8" s="130">
        <v>175.0</v>
      </c>
      <c r="H8" s="29" t="s">
        <v>64</v>
      </c>
      <c r="I8" s="92">
        <v>0.0</v>
      </c>
      <c r="J8" s="29">
        <f t="shared" si="1"/>
        <v>0</v>
      </c>
    </row>
    <row r="9" hidden="1">
      <c r="A9" s="145" t="s">
        <v>1313</v>
      </c>
      <c r="B9" s="114" t="s">
        <v>1324</v>
      </c>
      <c r="C9" s="171" t="s">
        <v>193</v>
      </c>
      <c r="D9" s="172" t="s">
        <v>1325</v>
      </c>
      <c r="E9" s="21" t="s">
        <v>18</v>
      </c>
      <c r="F9" s="22" t="s">
        <v>63</v>
      </c>
      <c r="G9" s="130">
        <v>175.0</v>
      </c>
      <c r="H9" s="29" t="s">
        <v>64</v>
      </c>
      <c r="I9" s="92">
        <v>0.0</v>
      </c>
      <c r="J9" s="29">
        <f t="shared" si="1"/>
        <v>0</v>
      </c>
    </row>
    <row r="10" hidden="1">
      <c r="A10" s="145" t="s">
        <v>1313</v>
      </c>
      <c r="B10" s="114" t="s">
        <v>1326</v>
      </c>
      <c r="C10" s="171" t="s">
        <v>193</v>
      </c>
      <c r="D10" s="172" t="s">
        <v>1327</v>
      </c>
      <c r="E10" s="21" t="s">
        <v>18</v>
      </c>
      <c r="F10" s="22" t="s">
        <v>63</v>
      </c>
      <c r="G10" s="130">
        <v>175.0</v>
      </c>
      <c r="H10" s="29" t="s">
        <v>64</v>
      </c>
      <c r="I10" s="92">
        <v>0.0</v>
      </c>
      <c r="J10" s="29">
        <f t="shared" si="1"/>
        <v>0</v>
      </c>
    </row>
    <row r="11" hidden="1">
      <c r="A11" s="65" t="s">
        <v>12</v>
      </c>
      <c r="B11" s="66"/>
      <c r="C11" s="66"/>
      <c r="D11" s="66"/>
      <c r="E11" s="66"/>
      <c r="F11" s="66"/>
      <c r="G11" s="66"/>
      <c r="H11" s="110"/>
      <c r="I11" s="59"/>
      <c r="J11" s="59"/>
    </row>
    <row r="12">
      <c r="A12" s="16" t="s">
        <v>13</v>
      </c>
      <c r="B12" s="32" t="s">
        <v>1187</v>
      </c>
      <c r="C12" s="18" t="s">
        <v>1188</v>
      </c>
      <c r="D12" s="27" t="s">
        <v>1190</v>
      </c>
      <c r="E12" s="21" t="s">
        <v>18</v>
      </c>
      <c r="F12" s="22" t="s">
        <v>19</v>
      </c>
      <c r="G12" s="29">
        <v>85.0</v>
      </c>
      <c r="H12" s="24" t="s">
        <v>20</v>
      </c>
      <c r="I12" s="92">
        <v>10.0</v>
      </c>
      <c r="J12" s="29">
        <f t="shared" ref="J12:J13" si="2">PRODUCT(G12,I12)</f>
        <v>850</v>
      </c>
    </row>
    <row r="13">
      <c r="A13" s="16" t="s">
        <v>13</v>
      </c>
      <c r="B13" s="17" t="s">
        <v>1328</v>
      </c>
      <c r="C13" s="18" t="s">
        <v>1188</v>
      </c>
      <c r="D13" s="60" t="s">
        <v>1329</v>
      </c>
      <c r="E13" s="21" t="s">
        <v>18</v>
      </c>
      <c r="F13" s="22" t="s">
        <v>19</v>
      </c>
      <c r="G13" s="29">
        <v>89.0</v>
      </c>
      <c r="H13" s="24" t="s">
        <v>20</v>
      </c>
      <c r="I13" s="92">
        <v>10.0</v>
      </c>
      <c r="J13" s="29">
        <f t="shared" si="2"/>
        <v>890</v>
      </c>
    </row>
    <row r="14" hidden="1">
      <c r="A14" s="173" t="s">
        <v>57</v>
      </c>
      <c r="B14" s="66"/>
      <c r="C14" s="66"/>
      <c r="D14" s="66"/>
      <c r="E14" s="66"/>
      <c r="F14" s="66"/>
      <c r="G14" s="66"/>
      <c r="H14" s="110"/>
      <c r="I14" s="54"/>
      <c r="J14" s="54"/>
    </row>
    <row r="15" hidden="1">
      <c r="A15" s="145" t="s">
        <v>58</v>
      </c>
      <c r="B15" s="31" t="s">
        <v>1330</v>
      </c>
      <c r="C15" s="18" t="s">
        <v>60</v>
      </c>
      <c r="D15" s="60" t="s">
        <v>1331</v>
      </c>
      <c r="E15" s="21" t="s">
        <v>18</v>
      </c>
      <c r="F15" s="22" t="s">
        <v>63</v>
      </c>
      <c r="G15" s="29">
        <v>165.0</v>
      </c>
      <c r="H15" s="29" t="s">
        <v>64</v>
      </c>
      <c r="I15" s="92">
        <v>0.0</v>
      </c>
      <c r="J15" s="29">
        <f t="shared" ref="J15:J17" si="3">PRODUCT(G15,I15)</f>
        <v>0</v>
      </c>
    </row>
    <row r="16" hidden="1">
      <c r="A16" s="145" t="s">
        <v>58</v>
      </c>
      <c r="B16" s="31" t="s">
        <v>1332</v>
      </c>
      <c r="C16" s="18" t="s">
        <v>60</v>
      </c>
      <c r="D16" s="60" t="s">
        <v>1333</v>
      </c>
      <c r="E16" s="21" t="s">
        <v>18</v>
      </c>
      <c r="F16" s="22" t="s">
        <v>63</v>
      </c>
      <c r="G16" s="29">
        <v>165.0</v>
      </c>
      <c r="H16" s="29" t="s">
        <v>64</v>
      </c>
      <c r="I16" s="92">
        <v>0.0</v>
      </c>
      <c r="J16" s="29">
        <f t="shared" si="3"/>
        <v>0</v>
      </c>
    </row>
    <row r="17" hidden="1">
      <c r="A17" s="145" t="s">
        <v>58</v>
      </c>
      <c r="B17" s="31" t="s">
        <v>1334</v>
      </c>
      <c r="C17" s="18" t="s">
        <v>60</v>
      </c>
      <c r="D17" s="60" t="s">
        <v>1335</v>
      </c>
      <c r="E17" s="21" t="s">
        <v>18</v>
      </c>
      <c r="F17" s="22" t="s">
        <v>63</v>
      </c>
      <c r="G17" s="29">
        <v>165.0</v>
      </c>
      <c r="H17" s="29" t="s">
        <v>64</v>
      </c>
      <c r="I17" s="92">
        <v>0.0</v>
      </c>
      <c r="J17" s="29">
        <f t="shared" si="3"/>
        <v>0</v>
      </c>
    </row>
    <row r="18" hidden="1">
      <c r="A18" s="173" t="s">
        <v>147</v>
      </c>
      <c r="B18" s="66"/>
      <c r="C18" s="66"/>
      <c r="D18" s="66"/>
      <c r="E18" s="66"/>
      <c r="F18" s="66"/>
      <c r="G18" s="66"/>
      <c r="H18" s="110"/>
      <c r="I18" s="54"/>
      <c r="J18" s="54"/>
    </row>
    <row r="19" hidden="1">
      <c r="A19" s="148" t="s">
        <v>148</v>
      </c>
      <c r="B19" s="85" t="s">
        <v>1336</v>
      </c>
      <c r="C19" s="22" t="s">
        <v>150</v>
      </c>
      <c r="D19" s="20" t="s">
        <v>1337</v>
      </c>
      <c r="E19" s="21" t="s">
        <v>278</v>
      </c>
      <c r="F19" s="22" t="s">
        <v>63</v>
      </c>
      <c r="G19" s="29">
        <v>189.0</v>
      </c>
      <c r="H19" s="24" t="s">
        <v>20</v>
      </c>
      <c r="I19" s="92">
        <v>0.0</v>
      </c>
      <c r="J19" s="29">
        <f>PRODUCT(G19,I19)</f>
        <v>0</v>
      </c>
    </row>
    <row r="20" hidden="1">
      <c r="A20" s="170" t="s">
        <v>1338</v>
      </c>
      <c r="B20" s="66"/>
      <c r="C20" s="66"/>
      <c r="D20" s="66"/>
      <c r="E20" s="66"/>
      <c r="F20" s="66"/>
      <c r="G20" s="66"/>
      <c r="H20" s="110"/>
      <c r="I20" s="36"/>
      <c r="J20" s="36"/>
    </row>
    <row r="21" hidden="1">
      <c r="A21" s="145" t="s">
        <v>1339</v>
      </c>
      <c r="B21" s="174" t="s">
        <v>1340</v>
      </c>
      <c r="C21" s="46" t="s">
        <v>1341</v>
      </c>
      <c r="D21" s="80" t="s">
        <v>1342</v>
      </c>
      <c r="E21" s="150" t="s">
        <v>345</v>
      </c>
      <c r="F21" s="62" t="s">
        <v>63</v>
      </c>
      <c r="G21" s="44">
        <v>105.0</v>
      </c>
      <c r="H21" s="29" t="s">
        <v>64</v>
      </c>
      <c r="I21" s="92">
        <v>0.0</v>
      </c>
      <c r="J21" s="29">
        <f t="shared" ref="J21:J24" si="4">PRODUCT(G21,I21)</f>
        <v>0</v>
      </c>
    </row>
    <row r="22" hidden="1">
      <c r="A22" s="145" t="s">
        <v>1339</v>
      </c>
      <c r="B22" s="174" t="s">
        <v>1343</v>
      </c>
      <c r="C22" s="46" t="s">
        <v>1341</v>
      </c>
      <c r="D22" s="80" t="s">
        <v>1344</v>
      </c>
      <c r="E22" s="150" t="s">
        <v>345</v>
      </c>
      <c r="F22" s="62" t="s">
        <v>63</v>
      </c>
      <c r="G22" s="44">
        <v>105.0</v>
      </c>
      <c r="H22" s="29" t="s">
        <v>64</v>
      </c>
      <c r="I22" s="92">
        <v>0.0</v>
      </c>
      <c r="J22" s="29">
        <f t="shared" si="4"/>
        <v>0</v>
      </c>
    </row>
    <row r="23" hidden="1">
      <c r="A23" s="145" t="s">
        <v>1339</v>
      </c>
      <c r="B23" s="174" t="s">
        <v>1345</v>
      </c>
      <c r="C23" s="46" t="s">
        <v>1341</v>
      </c>
      <c r="D23" s="80" t="s">
        <v>1346</v>
      </c>
      <c r="E23" s="150" t="s">
        <v>345</v>
      </c>
      <c r="F23" s="62" t="s">
        <v>63</v>
      </c>
      <c r="G23" s="44">
        <v>105.0</v>
      </c>
      <c r="H23" s="29" t="s">
        <v>64</v>
      </c>
      <c r="I23" s="92">
        <v>0.0</v>
      </c>
      <c r="J23" s="29">
        <f t="shared" si="4"/>
        <v>0</v>
      </c>
    </row>
    <row r="24" hidden="1">
      <c r="A24" s="145" t="s">
        <v>1339</v>
      </c>
      <c r="B24" s="174" t="s">
        <v>1347</v>
      </c>
      <c r="C24" s="46" t="s">
        <v>1341</v>
      </c>
      <c r="D24" s="80" t="s">
        <v>1348</v>
      </c>
      <c r="E24" s="150" t="s">
        <v>345</v>
      </c>
      <c r="F24" s="62" t="s">
        <v>63</v>
      </c>
      <c r="G24" s="44">
        <v>105.0</v>
      </c>
      <c r="H24" s="29" t="s">
        <v>64</v>
      </c>
      <c r="I24" s="92">
        <v>0.0</v>
      </c>
      <c r="J24" s="29">
        <f t="shared" si="4"/>
        <v>0</v>
      </c>
    </row>
    <row r="25" hidden="1">
      <c r="A25" s="89" t="s">
        <v>1241</v>
      </c>
      <c r="B25" s="13"/>
      <c r="C25" s="13"/>
      <c r="D25" s="13"/>
      <c r="E25" s="13"/>
      <c r="F25" s="13"/>
      <c r="G25" s="13"/>
      <c r="H25" s="14"/>
      <c r="I25" s="90"/>
      <c r="J25" s="90"/>
    </row>
    <row r="26" hidden="1">
      <c r="A26" s="175" t="s">
        <v>1242</v>
      </c>
      <c r="B26" s="132" t="s">
        <v>1250</v>
      </c>
      <c r="C26" s="176" t="s">
        <v>1349</v>
      </c>
      <c r="D26" s="177" t="s">
        <v>1350</v>
      </c>
      <c r="E26" s="178" t="s">
        <v>345</v>
      </c>
      <c r="F26" s="179" t="s">
        <v>289</v>
      </c>
      <c r="G26" s="113">
        <v>179.0</v>
      </c>
      <c r="H26" s="29" t="s">
        <v>64</v>
      </c>
      <c r="I26" s="92">
        <v>0.0</v>
      </c>
      <c r="J26" s="29">
        <f>PRODUCT(G26,I26)</f>
        <v>0</v>
      </c>
    </row>
    <row r="27" hidden="1">
      <c r="A27" s="180" t="s">
        <v>574</v>
      </c>
      <c r="B27" s="66"/>
      <c r="C27" s="66"/>
      <c r="D27" s="66"/>
      <c r="E27" s="66"/>
      <c r="F27" s="66"/>
      <c r="G27" s="66"/>
      <c r="H27" s="110"/>
      <c r="I27" s="90"/>
      <c r="J27" s="90"/>
    </row>
    <row r="28" hidden="1">
      <c r="A28" s="157" t="s">
        <v>575</v>
      </c>
      <c r="B28" s="128" t="s">
        <v>1351</v>
      </c>
      <c r="C28" s="179" t="s">
        <v>15</v>
      </c>
      <c r="D28" s="181" t="s">
        <v>1352</v>
      </c>
      <c r="E28" s="150" t="s">
        <v>18</v>
      </c>
      <c r="F28" s="179" t="s">
        <v>289</v>
      </c>
      <c r="G28" s="182">
        <v>175.0</v>
      </c>
      <c r="H28" s="44" t="s">
        <v>64</v>
      </c>
      <c r="I28" s="92">
        <v>0.0</v>
      </c>
      <c r="J28" s="29">
        <f>PRODUCT(G28,I28)</f>
        <v>0</v>
      </c>
    </row>
    <row r="29" hidden="1">
      <c r="A29" s="183" t="s">
        <v>1353</v>
      </c>
      <c r="B29" s="66"/>
      <c r="C29" s="66"/>
      <c r="D29" s="66"/>
      <c r="E29" s="66"/>
      <c r="F29" s="66"/>
      <c r="G29" s="66"/>
      <c r="H29" s="110"/>
      <c r="I29" s="15"/>
      <c r="J29" s="15"/>
    </row>
    <row r="30" hidden="1">
      <c r="A30" s="157" t="s">
        <v>1354</v>
      </c>
      <c r="B30" s="184" t="s">
        <v>1355</v>
      </c>
      <c r="C30" s="22" t="s">
        <v>1341</v>
      </c>
      <c r="D30" s="129" t="s">
        <v>1356</v>
      </c>
      <c r="E30" s="21" t="s">
        <v>345</v>
      </c>
      <c r="F30" s="22" t="s">
        <v>63</v>
      </c>
      <c r="G30" s="29">
        <v>115.0</v>
      </c>
      <c r="H30" s="24" t="s">
        <v>20</v>
      </c>
      <c r="I30" s="92">
        <v>0.0</v>
      </c>
      <c r="J30" s="29">
        <f t="shared" ref="J30:J39" si="5">PRODUCT(G30,I30)</f>
        <v>0</v>
      </c>
    </row>
    <row r="31" hidden="1">
      <c r="A31" s="157" t="s">
        <v>1354</v>
      </c>
      <c r="B31" s="157" t="s">
        <v>1357</v>
      </c>
      <c r="C31" s="22" t="s">
        <v>1341</v>
      </c>
      <c r="D31" s="20" t="s">
        <v>1358</v>
      </c>
      <c r="E31" s="21" t="s">
        <v>345</v>
      </c>
      <c r="F31" s="22" t="s">
        <v>63</v>
      </c>
      <c r="G31" s="29">
        <v>105.0</v>
      </c>
      <c r="H31" s="44" t="s">
        <v>64</v>
      </c>
      <c r="I31" s="92">
        <v>0.0</v>
      </c>
      <c r="J31" s="29">
        <f t="shared" si="5"/>
        <v>0</v>
      </c>
    </row>
    <row r="32" hidden="1">
      <c r="A32" s="157" t="s">
        <v>1354</v>
      </c>
      <c r="B32" s="71" t="s">
        <v>1359</v>
      </c>
      <c r="C32" s="22" t="s">
        <v>1360</v>
      </c>
      <c r="D32" s="20" t="s">
        <v>1361</v>
      </c>
      <c r="E32" s="21" t="s">
        <v>345</v>
      </c>
      <c r="F32" s="22" t="s">
        <v>63</v>
      </c>
      <c r="G32" s="29">
        <v>115.0</v>
      </c>
      <c r="H32" s="29" t="s">
        <v>64</v>
      </c>
      <c r="I32" s="92">
        <v>0.0</v>
      </c>
      <c r="J32" s="29">
        <f t="shared" si="5"/>
        <v>0</v>
      </c>
    </row>
    <row r="33" hidden="1">
      <c r="A33" s="157" t="s">
        <v>1354</v>
      </c>
      <c r="B33" s="184" t="s">
        <v>1362</v>
      </c>
      <c r="C33" s="22" t="s">
        <v>1360</v>
      </c>
      <c r="D33" s="129" t="s">
        <v>1363</v>
      </c>
      <c r="E33" s="21" t="s">
        <v>345</v>
      </c>
      <c r="F33" s="22" t="s">
        <v>63</v>
      </c>
      <c r="G33" s="29">
        <v>105.0</v>
      </c>
      <c r="H33" s="29" t="s">
        <v>64</v>
      </c>
      <c r="I33" s="92">
        <v>0.0</v>
      </c>
      <c r="J33" s="29">
        <f t="shared" si="5"/>
        <v>0</v>
      </c>
    </row>
    <row r="34" hidden="1">
      <c r="A34" s="157" t="s">
        <v>1354</v>
      </c>
      <c r="B34" s="71" t="s">
        <v>1364</v>
      </c>
      <c r="C34" s="22" t="s">
        <v>1341</v>
      </c>
      <c r="D34" s="20" t="s">
        <v>1365</v>
      </c>
      <c r="E34" s="21" t="s">
        <v>345</v>
      </c>
      <c r="F34" s="22" t="s">
        <v>63</v>
      </c>
      <c r="G34" s="29">
        <v>105.0</v>
      </c>
      <c r="H34" s="44" t="s">
        <v>64</v>
      </c>
      <c r="I34" s="92">
        <v>0.0</v>
      </c>
      <c r="J34" s="29">
        <f t="shared" si="5"/>
        <v>0</v>
      </c>
    </row>
    <row r="35" hidden="1">
      <c r="A35" s="157" t="s">
        <v>1354</v>
      </c>
      <c r="B35" s="71" t="s">
        <v>1366</v>
      </c>
      <c r="C35" s="22" t="s">
        <v>1341</v>
      </c>
      <c r="D35" s="20" t="s">
        <v>1367</v>
      </c>
      <c r="E35" s="21" t="s">
        <v>345</v>
      </c>
      <c r="F35" s="22" t="s">
        <v>63</v>
      </c>
      <c r="G35" s="29">
        <v>105.0</v>
      </c>
      <c r="H35" s="29" t="s">
        <v>64</v>
      </c>
      <c r="I35" s="92">
        <v>0.0</v>
      </c>
      <c r="J35" s="29">
        <f t="shared" si="5"/>
        <v>0</v>
      </c>
    </row>
    <row r="36" hidden="1">
      <c r="A36" s="157" t="s">
        <v>1354</v>
      </c>
      <c r="B36" s="71" t="s">
        <v>1368</v>
      </c>
      <c r="C36" s="22" t="s">
        <v>1341</v>
      </c>
      <c r="D36" s="20" t="s">
        <v>1369</v>
      </c>
      <c r="E36" s="21" t="s">
        <v>345</v>
      </c>
      <c r="F36" s="22" t="s">
        <v>63</v>
      </c>
      <c r="G36" s="29">
        <v>105.0</v>
      </c>
      <c r="H36" s="44" t="s">
        <v>64</v>
      </c>
      <c r="I36" s="92">
        <v>0.0</v>
      </c>
      <c r="J36" s="29">
        <f t="shared" si="5"/>
        <v>0</v>
      </c>
    </row>
    <row r="37" hidden="1">
      <c r="A37" s="157" t="s">
        <v>1354</v>
      </c>
      <c r="B37" s="71" t="s">
        <v>1370</v>
      </c>
      <c r="C37" s="22" t="s">
        <v>1341</v>
      </c>
      <c r="D37" s="20" t="s">
        <v>1371</v>
      </c>
      <c r="E37" s="21" t="s">
        <v>345</v>
      </c>
      <c r="F37" s="22" t="s">
        <v>63</v>
      </c>
      <c r="G37" s="29">
        <v>105.0</v>
      </c>
      <c r="H37" s="44" t="s">
        <v>64</v>
      </c>
      <c r="I37" s="92">
        <v>0.0</v>
      </c>
      <c r="J37" s="29">
        <f t="shared" si="5"/>
        <v>0</v>
      </c>
    </row>
    <row r="38" hidden="1">
      <c r="A38" s="157" t="s">
        <v>1354</v>
      </c>
      <c r="B38" s="71" t="s">
        <v>1372</v>
      </c>
      <c r="C38" s="22" t="s">
        <v>1341</v>
      </c>
      <c r="D38" s="20" t="s">
        <v>1373</v>
      </c>
      <c r="E38" s="21" t="s">
        <v>345</v>
      </c>
      <c r="F38" s="22" t="s">
        <v>63</v>
      </c>
      <c r="G38" s="29">
        <v>105.0</v>
      </c>
      <c r="H38" s="29" t="s">
        <v>64</v>
      </c>
      <c r="I38" s="92">
        <v>0.0</v>
      </c>
      <c r="J38" s="29">
        <f t="shared" si="5"/>
        <v>0</v>
      </c>
    </row>
    <row r="39" hidden="1">
      <c r="A39" s="157" t="s">
        <v>1354</v>
      </c>
      <c r="B39" s="71" t="s">
        <v>1374</v>
      </c>
      <c r="C39" s="22" t="s">
        <v>1341</v>
      </c>
      <c r="D39" s="20" t="s">
        <v>1375</v>
      </c>
      <c r="E39" s="21" t="s">
        <v>345</v>
      </c>
      <c r="F39" s="22" t="s">
        <v>63</v>
      </c>
      <c r="G39" s="29">
        <v>105.0</v>
      </c>
      <c r="H39" s="44" t="s">
        <v>64</v>
      </c>
      <c r="I39" s="92">
        <v>0.0</v>
      </c>
      <c r="J39" s="29">
        <f t="shared" si="5"/>
        <v>0</v>
      </c>
    </row>
    <row r="40" hidden="1">
      <c r="A40" s="183" t="s">
        <v>676</v>
      </c>
      <c r="B40" s="66"/>
      <c r="C40" s="66"/>
      <c r="D40" s="66"/>
      <c r="E40" s="66"/>
      <c r="F40" s="66"/>
      <c r="G40" s="66"/>
      <c r="H40" s="110"/>
      <c r="I40" s="15"/>
      <c r="J40" s="15"/>
    </row>
    <row r="41" hidden="1">
      <c r="A41" s="185" t="s">
        <v>677</v>
      </c>
      <c r="B41" s="128" t="s">
        <v>1376</v>
      </c>
      <c r="C41" s="38" t="s">
        <v>1377</v>
      </c>
      <c r="D41" s="129" t="s">
        <v>1378</v>
      </c>
      <c r="E41" s="21" t="s">
        <v>18</v>
      </c>
      <c r="F41" s="22" t="s">
        <v>63</v>
      </c>
      <c r="G41" s="130">
        <v>195.0</v>
      </c>
      <c r="H41" s="29" t="s">
        <v>64</v>
      </c>
      <c r="I41" s="92">
        <v>0.0</v>
      </c>
      <c r="J41" s="29">
        <f t="shared" ref="J41:J43" si="6">PRODUCT(G41,I41)</f>
        <v>0</v>
      </c>
    </row>
    <row r="42" hidden="1">
      <c r="A42" s="185" t="s">
        <v>677</v>
      </c>
      <c r="B42" s="83" t="s">
        <v>1379</v>
      </c>
      <c r="C42" s="22" t="s">
        <v>42</v>
      </c>
      <c r="D42" s="20" t="s">
        <v>1380</v>
      </c>
      <c r="E42" s="21" t="s">
        <v>18</v>
      </c>
      <c r="F42" s="22" t="s">
        <v>63</v>
      </c>
      <c r="G42" s="29">
        <v>199.0</v>
      </c>
      <c r="H42" s="29" t="s">
        <v>64</v>
      </c>
      <c r="I42" s="92">
        <v>0.0</v>
      </c>
      <c r="J42" s="29">
        <f t="shared" si="6"/>
        <v>0</v>
      </c>
    </row>
    <row r="43" hidden="1">
      <c r="A43" s="185" t="s">
        <v>677</v>
      </c>
      <c r="B43" s="128" t="s">
        <v>1381</v>
      </c>
      <c r="C43" s="38" t="s">
        <v>141</v>
      </c>
      <c r="D43" s="129" t="s">
        <v>1382</v>
      </c>
      <c r="E43" s="21" t="s">
        <v>18</v>
      </c>
      <c r="F43" s="22" t="s">
        <v>63</v>
      </c>
      <c r="G43" s="130">
        <v>179.0</v>
      </c>
      <c r="H43" s="29" t="s">
        <v>64</v>
      </c>
      <c r="I43" s="92">
        <v>0.0</v>
      </c>
      <c r="J43" s="29">
        <f t="shared" si="6"/>
        <v>0</v>
      </c>
    </row>
    <row r="44" hidden="1">
      <c r="A44" s="65" t="s">
        <v>648</v>
      </c>
      <c r="B44" s="66"/>
      <c r="C44" s="66"/>
      <c r="D44" s="66"/>
      <c r="E44" s="66"/>
      <c r="F44" s="66"/>
      <c r="G44" s="66"/>
      <c r="H44" s="110"/>
      <c r="I44" s="59"/>
      <c r="J44" s="59"/>
    </row>
    <row r="45" hidden="1">
      <c r="A45" s="185" t="s">
        <v>649</v>
      </c>
      <c r="B45" s="132" t="s">
        <v>1383</v>
      </c>
      <c r="C45" s="176" t="s">
        <v>243</v>
      </c>
      <c r="D45" s="186" t="s">
        <v>1384</v>
      </c>
      <c r="E45" s="150" t="s">
        <v>18</v>
      </c>
      <c r="F45" s="46" t="s">
        <v>63</v>
      </c>
      <c r="G45" s="113">
        <v>169.0</v>
      </c>
      <c r="H45" s="44" t="s">
        <v>64</v>
      </c>
      <c r="I45" s="92">
        <v>0.0</v>
      </c>
      <c r="J45" s="29">
        <f>PRODUCT(G45,I45)</f>
        <v>0</v>
      </c>
    </row>
    <row r="46" hidden="1">
      <c r="A46" s="65" t="s">
        <v>731</v>
      </c>
      <c r="B46" s="66"/>
      <c r="C46" s="66"/>
      <c r="D46" s="66"/>
      <c r="E46" s="66"/>
      <c r="F46" s="66"/>
      <c r="G46" s="66"/>
      <c r="H46" s="110"/>
      <c r="I46" s="59"/>
      <c r="J46" s="59"/>
    </row>
    <row r="47" hidden="1">
      <c r="A47" s="185" t="s">
        <v>732</v>
      </c>
      <c r="B47" s="187" t="s">
        <v>1385</v>
      </c>
      <c r="C47" s="46" t="s">
        <v>150</v>
      </c>
      <c r="D47" s="188" t="s">
        <v>1386</v>
      </c>
      <c r="E47" s="86" t="s">
        <v>603</v>
      </c>
      <c r="F47" s="46" t="s">
        <v>63</v>
      </c>
      <c r="G47" s="93">
        <v>159.0</v>
      </c>
      <c r="H47" s="189" t="s">
        <v>157</v>
      </c>
      <c r="I47" s="92">
        <v>0.0</v>
      </c>
      <c r="J47" s="29">
        <f>PRODUCT(G47,I47)</f>
        <v>0</v>
      </c>
    </row>
    <row r="48" hidden="1">
      <c r="A48" s="58" t="s">
        <v>744</v>
      </c>
      <c r="B48" s="13"/>
      <c r="C48" s="13"/>
      <c r="D48" s="13"/>
      <c r="E48" s="13"/>
      <c r="F48" s="13"/>
      <c r="G48" s="13"/>
      <c r="H48" s="14"/>
      <c r="I48" s="59"/>
      <c r="J48" s="59"/>
    </row>
    <row r="49" hidden="1">
      <c r="A49" s="37" t="s">
        <v>745</v>
      </c>
      <c r="B49" s="83" t="s">
        <v>1387</v>
      </c>
      <c r="C49" s="22" t="s">
        <v>1388</v>
      </c>
      <c r="D49" s="20" t="s">
        <v>1389</v>
      </c>
      <c r="E49" s="21" t="s">
        <v>18</v>
      </c>
      <c r="F49" s="22" t="s">
        <v>63</v>
      </c>
      <c r="G49" s="29">
        <v>169.0</v>
      </c>
      <c r="H49" s="44" t="s">
        <v>64</v>
      </c>
      <c r="I49" s="92">
        <v>0.0</v>
      </c>
      <c r="J49" s="29">
        <f t="shared" ref="J49:J56" si="7">PRODUCT(G49,I49)</f>
        <v>0</v>
      </c>
    </row>
    <row r="50" hidden="1">
      <c r="A50" s="37" t="s">
        <v>745</v>
      </c>
      <c r="B50" s="83" t="s">
        <v>1390</v>
      </c>
      <c r="C50" s="22" t="s">
        <v>1391</v>
      </c>
      <c r="D50" s="20" t="s">
        <v>1392</v>
      </c>
      <c r="E50" s="21" t="s">
        <v>18</v>
      </c>
      <c r="F50" s="22" t="s">
        <v>63</v>
      </c>
      <c r="G50" s="29">
        <v>169.0</v>
      </c>
      <c r="H50" s="44" t="s">
        <v>64</v>
      </c>
      <c r="I50" s="92">
        <v>0.0</v>
      </c>
      <c r="J50" s="29">
        <f t="shared" si="7"/>
        <v>0</v>
      </c>
    </row>
    <row r="51" hidden="1">
      <c r="A51" s="37" t="s">
        <v>745</v>
      </c>
      <c r="B51" s="83" t="s">
        <v>1393</v>
      </c>
      <c r="C51" s="22" t="s">
        <v>1391</v>
      </c>
      <c r="D51" s="20" t="s">
        <v>1394</v>
      </c>
      <c r="E51" s="21" t="s">
        <v>18</v>
      </c>
      <c r="F51" s="22" t="s">
        <v>63</v>
      </c>
      <c r="G51" s="29">
        <v>169.0</v>
      </c>
      <c r="H51" s="44" t="s">
        <v>64</v>
      </c>
      <c r="I51" s="92">
        <v>0.0</v>
      </c>
      <c r="J51" s="29">
        <f t="shared" si="7"/>
        <v>0</v>
      </c>
    </row>
    <row r="52" hidden="1">
      <c r="A52" s="37" t="s">
        <v>745</v>
      </c>
      <c r="B52" s="160" t="s">
        <v>1395</v>
      </c>
      <c r="C52" s="107" t="s">
        <v>243</v>
      </c>
      <c r="D52" s="190" t="s">
        <v>1396</v>
      </c>
      <c r="E52" s="191" t="s">
        <v>18</v>
      </c>
      <c r="F52" s="107" t="s">
        <v>63</v>
      </c>
      <c r="G52" s="109">
        <v>165.0</v>
      </c>
      <c r="H52" s="109" t="s">
        <v>64</v>
      </c>
      <c r="I52" s="92">
        <v>0.0</v>
      </c>
      <c r="J52" s="29">
        <f t="shared" si="7"/>
        <v>0</v>
      </c>
    </row>
    <row r="53" hidden="1">
      <c r="A53" s="37" t="s">
        <v>745</v>
      </c>
      <c r="B53" s="85" t="s">
        <v>1397</v>
      </c>
      <c r="C53" s="22" t="s">
        <v>243</v>
      </c>
      <c r="D53" s="20" t="s">
        <v>1398</v>
      </c>
      <c r="E53" s="21" t="s">
        <v>18</v>
      </c>
      <c r="F53" s="22" t="s">
        <v>63</v>
      </c>
      <c r="G53" s="29">
        <v>165.0</v>
      </c>
      <c r="H53" s="29" t="s">
        <v>64</v>
      </c>
      <c r="I53" s="92">
        <v>0.0</v>
      </c>
      <c r="J53" s="29">
        <f t="shared" si="7"/>
        <v>0</v>
      </c>
    </row>
    <row r="54" hidden="1">
      <c r="A54" s="37" t="s">
        <v>745</v>
      </c>
      <c r="B54" s="85" t="s">
        <v>1399</v>
      </c>
      <c r="C54" s="22" t="s">
        <v>193</v>
      </c>
      <c r="D54" s="20" t="s">
        <v>1400</v>
      </c>
      <c r="E54" s="21" t="s">
        <v>18</v>
      </c>
      <c r="F54" s="22" t="s">
        <v>63</v>
      </c>
      <c r="G54" s="29">
        <v>169.0</v>
      </c>
      <c r="H54" s="29" t="s">
        <v>64</v>
      </c>
      <c r="I54" s="92">
        <v>0.0</v>
      </c>
      <c r="J54" s="29">
        <f t="shared" si="7"/>
        <v>0</v>
      </c>
    </row>
    <row r="55" hidden="1">
      <c r="A55" s="37" t="s">
        <v>745</v>
      </c>
      <c r="B55" s="83" t="s">
        <v>1401</v>
      </c>
      <c r="C55" s="22" t="s">
        <v>296</v>
      </c>
      <c r="D55" s="82" t="s">
        <v>1402</v>
      </c>
      <c r="E55" s="21" t="s">
        <v>345</v>
      </c>
      <c r="F55" s="22" t="s">
        <v>63</v>
      </c>
      <c r="G55" s="92">
        <v>159.0</v>
      </c>
      <c r="H55" s="29" t="s">
        <v>64</v>
      </c>
      <c r="I55" s="92">
        <v>0.0</v>
      </c>
      <c r="J55" s="29">
        <f t="shared" si="7"/>
        <v>0</v>
      </c>
    </row>
    <row r="56" hidden="1">
      <c r="A56" s="37" t="s">
        <v>745</v>
      </c>
      <c r="B56" s="83" t="s">
        <v>1403</v>
      </c>
      <c r="C56" s="22" t="s">
        <v>193</v>
      </c>
      <c r="D56" s="20" t="s">
        <v>1404</v>
      </c>
      <c r="E56" s="21" t="s">
        <v>105</v>
      </c>
      <c r="F56" s="22" t="s">
        <v>63</v>
      </c>
      <c r="G56" s="29">
        <v>169.0</v>
      </c>
      <c r="H56" s="29" t="s">
        <v>64</v>
      </c>
      <c r="I56" s="92">
        <v>0.0</v>
      </c>
      <c r="J56" s="29">
        <f t="shared" si="7"/>
        <v>0</v>
      </c>
    </row>
    <row r="57" hidden="1">
      <c r="A57" s="58" t="s">
        <v>1016</v>
      </c>
      <c r="B57" s="13"/>
      <c r="C57" s="13"/>
      <c r="D57" s="13"/>
      <c r="E57" s="13"/>
      <c r="F57" s="13"/>
      <c r="G57" s="13"/>
      <c r="H57" s="14"/>
      <c r="I57" s="59"/>
      <c r="J57" s="59"/>
    </row>
    <row r="58" hidden="1">
      <c r="A58" s="37" t="s">
        <v>1017</v>
      </c>
      <c r="B58" s="192" t="s">
        <v>1405</v>
      </c>
      <c r="C58" s="62" t="s">
        <v>1406</v>
      </c>
      <c r="D58" s="193" t="s">
        <v>1407</v>
      </c>
      <c r="E58" s="150" t="s">
        <v>345</v>
      </c>
      <c r="F58" s="62" t="s">
        <v>63</v>
      </c>
      <c r="G58" s="44">
        <v>159.0</v>
      </c>
      <c r="H58" s="44" t="s">
        <v>64</v>
      </c>
      <c r="I58" s="92">
        <v>0.0</v>
      </c>
      <c r="J58" s="92">
        <v>10.0</v>
      </c>
    </row>
    <row r="59" hidden="1">
      <c r="A59" s="37" t="s">
        <v>1017</v>
      </c>
      <c r="B59" s="37" t="s">
        <v>1408</v>
      </c>
      <c r="C59" s="62" t="s">
        <v>1406</v>
      </c>
      <c r="D59" s="188" t="s">
        <v>1409</v>
      </c>
      <c r="E59" s="150" t="s">
        <v>345</v>
      </c>
      <c r="F59" s="62" t="s">
        <v>63</v>
      </c>
      <c r="G59" s="44">
        <v>159.0</v>
      </c>
      <c r="H59" s="44" t="s">
        <v>64</v>
      </c>
      <c r="I59" s="92">
        <v>0.0</v>
      </c>
      <c r="J59" s="92">
        <v>10.0</v>
      </c>
    </row>
    <row r="60" hidden="1">
      <c r="A60" s="37" t="s">
        <v>1017</v>
      </c>
      <c r="B60" s="192" t="s">
        <v>1410</v>
      </c>
      <c r="C60" s="62" t="s">
        <v>1406</v>
      </c>
      <c r="D60" s="193" t="s">
        <v>1411</v>
      </c>
      <c r="E60" s="150" t="s">
        <v>345</v>
      </c>
      <c r="F60" s="62" t="s">
        <v>63</v>
      </c>
      <c r="G60" s="44">
        <v>159.0</v>
      </c>
      <c r="H60" s="44" t="s">
        <v>64</v>
      </c>
      <c r="I60" s="92">
        <v>0.0</v>
      </c>
      <c r="J60" s="29">
        <f>PRODUCT(G60,I60)</f>
        <v>0</v>
      </c>
    </row>
    <row r="61" hidden="1">
      <c r="A61" s="37" t="s">
        <v>1017</v>
      </c>
      <c r="B61" s="192" t="s">
        <v>1412</v>
      </c>
      <c r="C61" s="62" t="s">
        <v>1406</v>
      </c>
      <c r="D61" s="80" t="s">
        <v>1413</v>
      </c>
      <c r="E61" s="150" t="s">
        <v>345</v>
      </c>
      <c r="F61" s="62" t="s">
        <v>63</v>
      </c>
      <c r="G61" s="44">
        <v>159.0</v>
      </c>
      <c r="H61" s="44" t="s">
        <v>64</v>
      </c>
      <c r="I61" s="92">
        <v>0.0</v>
      </c>
      <c r="J61" s="92">
        <v>10.0</v>
      </c>
    </row>
    <row r="62" hidden="1">
      <c r="A62" s="37" t="s">
        <v>1017</v>
      </c>
      <c r="B62" s="194" t="s">
        <v>1414</v>
      </c>
      <c r="C62" s="107" t="s">
        <v>1406</v>
      </c>
      <c r="D62" s="195" t="s">
        <v>1415</v>
      </c>
      <c r="E62" s="191" t="s">
        <v>345</v>
      </c>
      <c r="F62" s="107" t="s">
        <v>63</v>
      </c>
      <c r="G62" s="109">
        <v>159.0</v>
      </c>
      <c r="H62" s="109" t="s">
        <v>64</v>
      </c>
      <c r="I62" s="92">
        <v>0.0</v>
      </c>
      <c r="J62" s="92">
        <v>10.0</v>
      </c>
    </row>
    <row r="63" hidden="1">
      <c r="A63" s="37" t="s">
        <v>1017</v>
      </c>
      <c r="B63" s="194" t="s">
        <v>1416</v>
      </c>
      <c r="C63" s="107" t="s">
        <v>1406</v>
      </c>
      <c r="D63" s="195" t="s">
        <v>1417</v>
      </c>
      <c r="E63" s="191" t="s">
        <v>345</v>
      </c>
      <c r="F63" s="107" t="s">
        <v>63</v>
      </c>
      <c r="G63" s="109">
        <v>159.0</v>
      </c>
      <c r="H63" s="109" t="s">
        <v>64</v>
      </c>
      <c r="I63" s="92">
        <v>0.0</v>
      </c>
      <c r="J63" s="29">
        <f>PRODUCT(G63,I63)</f>
        <v>0</v>
      </c>
    </row>
    <row r="64" hidden="1">
      <c r="A64" s="58" t="s">
        <v>798</v>
      </c>
      <c r="B64" s="13"/>
      <c r="C64" s="13"/>
      <c r="D64" s="13"/>
      <c r="E64" s="13"/>
      <c r="F64" s="13"/>
      <c r="G64" s="13"/>
      <c r="H64" s="14"/>
      <c r="I64" s="59"/>
      <c r="J64" s="59"/>
    </row>
    <row r="65" hidden="1">
      <c r="A65" s="196" t="s">
        <v>1418</v>
      </c>
      <c r="B65" s="196" t="s">
        <v>1419</v>
      </c>
      <c r="C65" s="46" t="s">
        <v>1420</v>
      </c>
      <c r="D65" s="197" t="s">
        <v>1421</v>
      </c>
      <c r="E65" s="178" t="s">
        <v>345</v>
      </c>
      <c r="F65" s="46" t="s">
        <v>63</v>
      </c>
      <c r="G65" s="93">
        <v>109.0</v>
      </c>
      <c r="H65" s="48">
        <v>8.0</v>
      </c>
      <c r="I65" s="92">
        <v>0.0</v>
      </c>
      <c r="J65" s="29">
        <f t="shared" ref="J65:J66" si="8">PRODUCT(G65,I65)</f>
        <v>0</v>
      </c>
    </row>
    <row r="66" hidden="1">
      <c r="A66" s="196" t="s">
        <v>1418</v>
      </c>
      <c r="B66" s="196" t="s">
        <v>1422</v>
      </c>
      <c r="C66" s="46" t="s">
        <v>1341</v>
      </c>
      <c r="D66" s="197" t="s">
        <v>1423</v>
      </c>
      <c r="E66" s="178" t="s">
        <v>345</v>
      </c>
      <c r="F66" s="46" t="s">
        <v>63</v>
      </c>
      <c r="G66" s="93">
        <v>109.0</v>
      </c>
      <c r="H66" s="93" t="s">
        <v>64</v>
      </c>
      <c r="I66" s="92"/>
      <c r="J66" s="29">
        <f t="shared" si="8"/>
        <v>109</v>
      </c>
    </row>
    <row r="67" hidden="1">
      <c r="A67" s="58" t="s">
        <v>1115</v>
      </c>
      <c r="B67" s="13"/>
      <c r="C67" s="13"/>
      <c r="D67" s="13"/>
      <c r="E67" s="13"/>
      <c r="F67" s="13"/>
      <c r="G67" s="13"/>
      <c r="H67" s="14"/>
      <c r="I67" s="59"/>
      <c r="J67" s="59"/>
    </row>
    <row r="68" hidden="1">
      <c r="A68" s="196" t="s">
        <v>1116</v>
      </c>
      <c r="B68" s="151" t="s">
        <v>1424</v>
      </c>
      <c r="C68" s="22" t="s">
        <v>42</v>
      </c>
      <c r="D68" s="20" t="s">
        <v>1425</v>
      </c>
      <c r="E68" s="22" t="s">
        <v>18</v>
      </c>
      <c r="F68" s="22" t="s">
        <v>63</v>
      </c>
      <c r="G68" s="29">
        <v>215.0</v>
      </c>
      <c r="H68" s="29" t="s">
        <v>64</v>
      </c>
      <c r="I68" s="92"/>
      <c r="J68" s="29">
        <f>PRODUCT(G68,I68)</f>
        <v>215</v>
      </c>
    </row>
    <row r="69">
      <c r="A69" s="198"/>
      <c r="B69" s="199"/>
      <c r="C69" s="138"/>
      <c r="D69" s="200"/>
      <c r="E69" s="138"/>
      <c r="F69" s="138"/>
      <c r="G69" s="168"/>
      <c r="H69" s="141" t="s">
        <v>1172</v>
      </c>
      <c r="I69" s="141">
        <f>SUM(I4:I68)</f>
        <v>20</v>
      </c>
      <c r="J69" s="168">
        <f>SUM(J3:J68)</f>
        <v>2104</v>
      </c>
    </row>
  </sheetData>
  <autoFilter ref="$A$2:$J$69">
    <filterColumn colId="1">
      <filters blank="1">
        <filter val="NON ALCO COFFEE STOUT"/>
        <filter val="NON ALCO ALE GRAPEFRUIT"/>
        <filter val="Watermelon + Melissa"/>
        <filter val="Bench Слива Ваниль"/>
        <filter val="XOXO"/>
        <filter val="Pear Ginger Pepper"/>
        <filter val="Easy Pils"/>
        <filter val="U R AWSM!"/>
        <filter val="Чай Шу Пуэр Гранат Малина"/>
        <filter val="Starovar Non Alco"/>
        <filter val="Larousse Gastronomique (Watermelon)"/>
        <filter val="ТЕХПРОСВЕТ"/>
        <filter val="Fizzy Riesling"/>
        <filter val="ST ANDREWS"/>
        <filter val="Bench Фейхоа Смородина"/>
        <filter val="Dancing With Your Demons"/>
        <filter val="NON ALCO SOUR ALE FEIJOA"/>
        <filter val="CBD Чай Айва"/>
        <filter val="Nympho"/>
        <filter val="Lavender Tonic"/>
        <filter val="Pineapple + Lychee"/>
        <filter val="Non-Alcoholic Mead Cherry"/>
        <filter val="NON ALCO SOUR ALE RASPBERRY"/>
        <filter val="Starovar Non Alco Dark"/>
        <filter val="Mango + Сhili"/>
        <filter val="Go the N.A."/>
        <filter val="Т-Банк Pineapple + Passion fruit + Lemongrass"/>
        <filter val="C U 2NITE"/>
        <filter val="Чай Ромашковый Груша, Лайм"/>
        <filter val="Easy Hops"/>
        <filter val="Сидр Безалкогольный"/>
        <filter val="Larousse Gastronomique"/>
        <filter val="CBD Pear + Ginger"/>
        <filter val="Bench Грейпфрут Малина"/>
        <filter val="Embrace"/>
        <filter val="Detox Peach + Passion Fruit"/>
        <filter val="Easy Hazy"/>
        <filter val="Go the N.A. (Kalamansi Batch)"/>
        <filter val="Сатори"/>
        <filter val="Bench Абрикос Лемонграсс"/>
        <filter val="Чай Шен Пуэр Грейпфрут Белый"/>
        <filter val="Non-alcoholic Mead Жимолость"/>
        <filter val="NON ALCO CLASSIC GOSE"/>
        <filter val="Grapefruit + Lemon"/>
        <filter val="Sober Mate"/>
        <filter val="Non-alcoholic Mead Цитрус"/>
        <filter val="NON ALCO LEMON GOSE"/>
        <filter val="NON ALCO LAGER"/>
        <filter val="Peach + Verbena"/>
        <filter val="Чай Габа Абрикос Мята"/>
        <filter val="CBD Чай Шиповник"/>
      </filters>
    </filterColumn>
    <filterColumn colId="8">
      <filters>
        <filter val="20"/>
        <filter val="10"/>
      </filters>
    </filterColumn>
  </autoFilter>
  <mergeCells count="17">
    <mergeCell ref="A1:C1"/>
    <mergeCell ref="E1:H1"/>
    <mergeCell ref="A3:H3"/>
    <mergeCell ref="A11:H11"/>
    <mergeCell ref="A14:H14"/>
    <mergeCell ref="A18:H18"/>
    <mergeCell ref="A20:H20"/>
    <mergeCell ref="A57:H57"/>
    <mergeCell ref="A64:H64"/>
    <mergeCell ref="A67:H67"/>
    <mergeCell ref="A25:H25"/>
    <mergeCell ref="A27:H27"/>
    <mergeCell ref="A29:H29"/>
    <mergeCell ref="A40:H40"/>
    <mergeCell ref="A44:H44"/>
    <mergeCell ref="A46:H46"/>
    <mergeCell ref="A48:H48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2"/>
    <hyperlink r:id="rId10" ref="B13"/>
    <hyperlink r:id="rId11" ref="B15"/>
    <hyperlink r:id="rId12" ref="B16"/>
    <hyperlink r:id="rId13" ref="B17"/>
    <hyperlink r:id="rId14" ref="B19"/>
    <hyperlink r:id="rId15" ref="B26"/>
    <hyperlink r:id="rId16" ref="B28"/>
    <hyperlink r:id="rId17" ref="B41"/>
    <hyperlink r:id="rId18" ref="B42"/>
    <hyperlink r:id="rId19" ref="B43"/>
    <hyperlink r:id="rId20" ref="B45"/>
    <hyperlink r:id="rId21" ref="B47"/>
    <hyperlink r:id="rId22" ref="B49"/>
    <hyperlink r:id="rId23" ref="B50"/>
    <hyperlink r:id="rId24" ref="B51"/>
    <hyperlink r:id="rId25" ref="B52"/>
    <hyperlink r:id="rId26" ref="B53"/>
    <hyperlink r:id="rId27" ref="B54"/>
    <hyperlink r:id="rId28" ref="B55"/>
    <hyperlink r:id="rId29" ref="B56"/>
    <hyperlink r:id="rId30" ref="B6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1"/>
</worksheet>
</file>